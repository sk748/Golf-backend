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amuel.m.k/Downloads/"/>
    </mc:Choice>
  </mc:AlternateContent>
  <xr:revisionPtr revIDLastSave="0" documentId="13_ncr:1_{69E1AD8C-A290-0740-BDF4-5441D4150E79}" xr6:coauthVersionLast="47" xr6:coauthVersionMax="47" xr10:uidLastSave="{00000000-0000-0000-0000-000000000000}"/>
  <bookViews>
    <workbookView xWindow="0" yWindow="0" windowWidth="25600" windowHeight="16000" tabRatio="838" xr2:uid="{00000000-000D-0000-FFFF-FFFF00000000}"/>
  </bookViews>
  <sheets>
    <sheet name="Dashboard" sheetId="8" r:id="rId1"/>
    <sheet name="Sort by Gender" sheetId="12" r:id="rId2"/>
    <sheet name="Sort by Age" sheetId="4" r:id="rId3"/>
    <sheet name="Sort by HI" sheetId="6" r:id="rId4"/>
    <sheet name="Sort by Experience" sheetId="5" r:id="rId5"/>
    <sheet name="Sort by Availability" sheetId="7" r:id="rId6"/>
    <sheet name="Sort by US Golf &amp; Age" sheetId="10" r:id="rId7"/>
    <sheet name="Sort by US Golf &amp; HI" sheetId="11" r:id="rId8"/>
    <sheet name="Source Data" sheetId="1" r:id="rId9"/>
  </sheets>
  <definedNames>
    <definedName name="_xlnm._FilterDatabase" localSheetId="2" hidden="1">'Sort by Age'!$B$10:$S$10</definedName>
    <definedName name="_xlnm._FilterDatabase" localSheetId="5" hidden="1">'Sort by Availability'!$B$10:$S$10</definedName>
    <definedName name="_xlnm._FilterDatabase" localSheetId="1" hidden="1">'Sort by Gender'!$B$11:$T$11</definedName>
    <definedName name="_xlnm._FilterDatabase" localSheetId="6" hidden="1">'Sort by US Golf &amp; Age'!$B$13:$S$13</definedName>
    <definedName name="_xlnm._FilterDatabase" localSheetId="7" hidden="1">'Sort by US Golf &amp; HI'!$B$10:$S$10</definedName>
    <definedName name="_xlnm._FilterDatabase" localSheetId="8" hidden="1">'Source Data'!$A$1:$T$2</definedName>
    <definedName name="_xlchart.v2.0" hidden="1">'Sort by Age'!$B$3:$B$7</definedName>
    <definedName name="_xlchart.v2.1" hidden="1">'Sort by Age'!$C$3:$C$7</definedName>
    <definedName name="_xlchart.v2.2" hidden="1">'Sort by Experience'!$B$3:$B$8</definedName>
    <definedName name="_xlchart.v2.3" hidden="1">'Sort by Experience'!$C$3:$C$8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2" l="1"/>
  <c r="C6" i="12"/>
  <c r="C5" i="12"/>
  <c r="D7" i="11"/>
  <c r="C7" i="11"/>
  <c r="D6" i="11"/>
  <c r="C6" i="11"/>
  <c r="D10" i="10"/>
  <c r="C10" i="10"/>
  <c r="D9" i="10"/>
  <c r="C9" i="10"/>
  <c r="D8" i="10"/>
  <c r="C8" i="10"/>
  <c r="D7" i="10"/>
  <c r="C7" i="10"/>
  <c r="D6" i="10"/>
  <c r="C6" i="10"/>
  <c r="D11" i="10" l="1"/>
  <c r="C8" i="12"/>
  <c r="D8" i="12" s="1"/>
  <c r="C8" i="11"/>
  <c r="C9" i="11" s="1"/>
  <c r="D8" i="11"/>
  <c r="D7" i="12" l="1"/>
  <c r="D6" i="12"/>
  <c r="D5" i="12"/>
  <c r="C7" i="5" l="1"/>
  <c r="C6" i="5"/>
  <c r="C7" i="7"/>
  <c r="C5" i="6"/>
  <c r="C4" i="6"/>
  <c r="C6" i="6" s="1"/>
  <c r="D5" i="6" s="1"/>
  <c r="C7" i="4"/>
  <c r="C6" i="4"/>
  <c r="C5" i="4"/>
  <c r="C4" i="4"/>
  <c r="C3" i="4"/>
  <c r="C8" i="4" s="1"/>
  <c r="C4" i="5" l="1"/>
  <c r="C3" i="5"/>
  <c r="D6" i="6"/>
  <c r="D4" i="6"/>
  <c r="C9" i="5" l="1"/>
  <c r="C11" i="10"/>
</calcChain>
</file>

<file path=xl/sharedStrings.xml><?xml version="1.0" encoding="utf-8"?>
<sst xmlns="http://schemas.openxmlformats.org/spreadsheetml/2006/main" count="214" uniqueCount="65">
  <si>
    <t>Email Address</t>
  </si>
  <si>
    <t>Junior's First Name</t>
  </si>
  <si>
    <t>Junior's Surname</t>
  </si>
  <si>
    <t>Junior's Phone Number (if applicable)</t>
  </si>
  <si>
    <t>Juniors Email Address (if applicable)</t>
  </si>
  <si>
    <t>Parent's Name</t>
  </si>
  <si>
    <t>Parent's Email Address</t>
  </si>
  <si>
    <t>Parent's Phone Number</t>
  </si>
  <si>
    <t>Curriculum followed by the Junior</t>
  </si>
  <si>
    <t>Handicap Index</t>
  </si>
  <si>
    <t>If  handicapped, please provide</t>
  </si>
  <si>
    <t>If non handicapped, have you ever played US Kids Golf Tournament</t>
  </si>
  <si>
    <t>If Yes: What is best score: (Please provide)</t>
  </si>
  <si>
    <t xml:space="preserve">How long have you been playing golf: </t>
  </si>
  <si>
    <t xml:space="preserve">How much time can you dedicate to the program: </t>
  </si>
  <si>
    <t xml:space="preserve">Any medical condition or injuries? </t>
  </si>
  <si>
    <t>If yes, please provide details</t>
  </si>
  <si>
    <t>Golf Goals (please tick as many as appropriate)</t>
  </si>
  <si>
    <t>Yes</t>
  </si>
  <si>
    <t>No</t>
  </si>
  <si>
    <t>Beginner</t>
  </si>
  <si>
    <t>Age</t>
  </si>
  <si>
    <t>Age Distribution</t>
  </si>
  <si>
    <t>4 years - 6 years</t>
  </si>
  <si>
    <t>7 years - 9 years</t>
  </si>
  <si>
    <t>10 years - 12 years</t>
  </si>
  <si>
    <t>13 years - 15 years</t>
  </si>
  <si>
    <t>16 years - 18 years</t>
  </si>
  <si>
    <t>Total</t>
  </si>
  <si>
    <t>No. without handicap</t>
  </si>
  <si>
    <t>No. with handicap</t>
  </si>
  <si>
    <t>No of children</t>
  </si>
  <si>
    <t>%</t>
  </si>
  <si>
    <t>Karen Junior Development Program</t>
  </si>
  <si>
    <t>Total Number of Responses</t>
  </si>
  <si>
    <t>Distribution by Age</t>
  </si>
  <si>
    <t>Availability</t>
  </si>
  <si>
    <t>More than twice a week</t>
  </si>
  <si>
    <t>Only On Holidays</t>
  </si>
  <si>
    <t>Weekends only (Saturdays)</t>
  </si>
  <si>
    <t>Distribution by Availabilty</t>
  </si>
  <si>
    <t>Tenor</t>
  </si>
  <si>
    <t>Distribution by Experience</t>
  </si>
  <si>
    <t>Less than 1 year</t>
  </si>
  <si>
    <t>1 year - 3 years</t>
  </si>
  <si>
    <t>7 years - 10 years</t>
  </si>
  <si>
    <t>Unknown</t>
  </si>
  <si>
    <t>Distribution by US Golf &amp; Age</t>
  </si>
  <si>
    <t>Played US Golf?</t>
  </si>
  <si>
    <t>Handicapped</t>
  </si>
  <si>
    <t>Not handicapped</t>
  </si>
  <si>
    <t>Distribution by US Golf &amp; HI</t>
  </si>
  <si>
    <t>Gender</t>
  </si>
  <si>
    <t>Distribution by Gender</t>
  </si>
  <si>
    <t>Male</t>
  </si>
  <si>
    <t>Female</t>
  </si>
  <si>
    <t>No.</t>
  </si>
  <si>
    <t>Distribution by Playing US Golf &amp; Age</t>
  </si>
  <si>
    <t>Distribution by Playing US Golf &amp; HI</t>
  </si>
  <si>
    <t>Played US Golf</t>
  </si>
  <si>
    <t>Not Played US Golf</t>
  </si>
  <si>
    <t>Twice a week including weekends</t>
  </si>
  <si>
    <t>Level Description</t>
  </si>
  <si>
    <t xml:space="preserve">Feedback from Coaches </t>
  </si>
  <si>
    <t xml:space="preserve">Moderation by Program admin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</si>
</sst>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venir Next LT Pro"/>
      <family val="2"/>
    </font>
    <font>
      <sz val="10"/>
      <color rgb="FF000000"/>
      <name val="Arial"/>
      <family val="2"/>
      <scheme val="minor"/>
    </font>
    <font>
      <b/>
      <sz val="10"/>
      <color theme="0"/>
      <name val="Avenir Next LT Pro"/>
      <family val="2"/>
    </font>
    <font>
      <b/>
      <sz val="10"/>
      <color theme="1"/>
      <name val="Avenir Next LT Pro"/>
      <family val="2"/>
    </font>
    <font>
      <sz val="10"/>
      <color theme="0"/>
      <name val="Avenir Next LT Pro"/>
      <family val="2"/>
    </font>
    <font>
      <sz val="10"/>
      <color rgb="FF000000"/>
      <name val="Avenir Next LT Pro"/>
      <family val="2"/>
    </font>
    <font>
      <b/>
      <sz val="10"/>
      <color rgb="FF000000"/>
      <name val="Avenir Next LT Pro"/>
      <family val="2"/>
    </font>
    <font>
      <b/>
      <sz val="11"/>
      <color rgb="FF000000"/>
      <name val="Avenir Next LT Pro"/>
      <family val="2"/>
    </font>
    <font>
      <b/>
      <sz val="12"/>
      <color rgb="FF000000"/>
      <name val="Avenir Next LT Pro"/>
      <family val="2"/>
    </font>
    <font>
      <b/>
      <u/>
      <sz val="12"/>
      <color rgb="FF000000"/>
      <name val="Avenir Next LT Pro"/>
      <family val="2"/>
    </font>
    <font>
      <b/>
      <sz val="18"/>
      <color rgb="FF163A56"/>
      <name val="Avenir Next LT Pro"/>
      <family val="2"/>
    </font>
    <font>
      <sz val="11"/>
      <color rgb="FF000000"/>
      <name val="Avenir Next LT Pro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63A56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 style="dotted">
        <color theme="0" tint="-0.34998626667073579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/>
      <right style="dotted">
        <color theme="0" tint="-0.34998626667073579"/>
      </right>
      <top/>
      <bottom style="dotted">
        <color theme="0" tint="-0.3499862666707357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1">
    <xf numFmtId="0" fontId="0" fillId="0" borderId="0" xfId="0"/>
    <xf numFmtId="0" fontId="6" fillId="0" borderId="0" xfId="0" applyFont="1"/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10" fillId="0" borderId="0" xfId="0" applyFont="1"/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11" fillId="0" borderId="0" xfId="0" applyFont="1"/>
    <xf numFmtId="0" fontId="9" fillId="0" borderId="3" xfId="0" applyFont="1" applyBorder="1"/>
    <xf numFmtId="0" fontId="9" fillId="0" borderId="4" xfId="0" applyFont="1" applyBorder="1"/>
    <xf numFmtId="0" fontId="3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3" fillId="4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8" fillId="3" borderId="0" xfId="0" applyFont="1" applyFill="1" applyAlignment="1">
      <alignment horizontal="centerContinuous"/>
    </xf>
    <xf numFmtId="0" fontId="12" fillId="3" borderId="0" xfId="0" applyFont="1" applyFill="1" applyAlignment="1">
      <alignment horizontal="centerContinuous"/>
    </xf>
    <xf numFmtId="0" fontId="12" fillId="0" borderId="0" xfId="0" applyFont="1"/>
    <xf numFmtId="0" fontId="12" fillId="3" borderId="0" xfId="0" applyFont="1" applyFill="1"/>
    <xf numFmtId="0" fontId="7" fillId="0" borderId="0" xfId="0" applyFont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12" fillId="0" borderId="0" xfId="0" applyFont="1" applyAlignment="1">
      <alignment horizontal="centerContinuous"/>
    </xf>
    <xf numFmtId="0" fontId="10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9" fontId="1" fillId="0" borderId="1" xfId="1" applyFont="1" applyBorder="1" applyAlignment="1">
      <alignment vertical="center"/>
    </xf>
    <xf numFmtId="9" fontId="4" fillId="0" borderId="1" xfId="1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5" xfId="0" applyFont="1" applyBorder="1" applyAlignment="1">
      <alignment horizontal="centerContinuous" vertical="center"/>
    </xf>
    <xf numFmtId="0" fontId="1" fillId="0" borderId="5" xfId="0" applyFont="1" applyBorder="1" applyAlignment="1">
      <alignment horizontal="centerContinuous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9" fontId="6" fillId="0" borderId="0" xfId="1" applyFont="1" applyBorder="1" applyAlignment="1">
      <alignment vertical="center"/>
    </xf>
    <xf numFmtId="9" fontId="1" fillId="0" borderId="0" xfId="1" applyFont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6CA442"/>
      <color rgb="FF163A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'Sort by HI'!$D$3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6CA442"/>
            </a:solidFill>
          </c:spPr>
          <c:dPt>
            <c:idx val="0"/>
            <c:bubble3D val="0"/>
            <c:spPr>
              <a:solidFill>
                <a:srgbClr val="163A5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D7-46EB-A9FB-4B660BB2209A}"/>
              </c:ext>
            </c:extLst>
          </c:dPt>
          <c:dPt>
            <c:idx val="1"/>
            <c:bubble3D val="0"/>
            <c:spPr>
              <a:solidFill>
                <a:srgbClr val="6CA44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D7-46EB-A9FB-4B660BB220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'Sort by HI'!$B$4:$B$5</c:f>
              <c:strCache>
                <c:ptCount val="2"/>
                <c:pt idx="0">
                  <c:v>No. with handicap</c:v>
                </c:pt>
                <c:pt idx="1">
                  <c:v>No. without handicap</c:v>
                </c:pt>
              </c:strCache>
            </c:strRef>
          </c:cat>
          <c:val>
            <c:numRef>
              <c:f>'Sort by HI'!$D$4:$D$5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D7-46EB-A9FB-4B660BB22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venir Next LT Pro" panose="020B05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63A5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'Sort by Availability'!$B$3:$B$6</c:f>
              <c:strCache>
                <c:ptCount val="4"/>
                <c:pt idx="0">
                  <c:v>Twice a week including weekends</c:v>
                </c:pt>
                <c:pt idx="1">
                  <c:v>Weekends only (Saturdays)</c:v>
                </c:pt>
                <c:pt idx="2">
                  <c:v>More than twice a week</c:v>
                </c:pt>
                <c:pt idx="3">
                  <c:v>Only On Holidays</c:v>
                </c:pt>
              </c:strCache>
            </c:strRef>
          </c:cat>
          <c:val>
            <c:numRef>
              <c:f>'Sort by Availability'!$C$3:$C$6</c:f>
              <c:numCache>
                <c:formatCode>General</c:formatCode>
                <c:ptCount val="4"/>
                <c:pt idx="0">
                  <c:v>46</c:v>
                </c:pt>
                <c:pt idx="1">
                  <c:v>32</c:v>
                </c:pt>
                <c:pt idx="2">
                  <c:v>18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A-44D2-936B-CA80181A3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299156815"/>
        <c:axId val="1618128863"/>
      </c:barChart>
      <c:catAx>
        <c:axId val="29915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KE"/>
          </a:p>
        </c:txPr>
        <c:crossAx val="1618128863"/>
        <c:crosses val="autoZero"/>
        <c:auto val="1"/>
        <c:lblAlgn val="ctr"/>
        <c:lblOffset val="100"/>
        <c:noMultiLvlLbl val="0"/>
      </c:catAx>
      <c:valAx>
        <c:axId val="1618128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KE"/>
          </a:p>
        </c:txPr>
        <c:crossAx val="29915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venir Next LT Pro" panose="020B05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63A5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FB-419B-A85B-05F23D519958}"/>
              </c:ext>
            </c:extLst>
          </c:dPt>
          <c:dPt>
            <c:idx val="1"/>
            <c:bubble3D val="0"/>
            <c:spPr>
              <a:solidFill>
                <a:srgbClr val="6CA44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FB-419B-A85B-05F23D5199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'Sort by Gender'!$B$5:$B$6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'Sort by Gender'!$D$5:$D$6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FB-419B-A85B-05F23D519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venir Next LT Pro" panose="020B05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'Sort by US Golf &amp; HI'!$B$6</c:f>
              <c:strCache>
                <c:ptCount val="1"/>
                <c:pt idx="0">
                  <c:v>Handicapped</c:v>
                </c:pt>
              </c:strCache>
            </c:strRef>
          </c:tx>
          <c:spPr>
            <a:solidFill>
              <a:srgbClr val="6CA4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'Sort by US Golf &amp; HI'!$E$4:$F$4</c:f>
              <c:strCache>
                <c:ptCount val="2"/>
                <c:pt idx="0">
                  <c:v>Played US Golf</c:v>
                </c:pt>
                <c:pt idx="1">
                  <c:v>Not Played US Golf</c:v>
                </c:pt>
              </c:strCache>
            </c:strRef>
          </c:cat>
          <c:val>
            <c:numRef>
              <c:f>'Sort by US Golf &amp; HI'!$C$6:$D$6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F-464B-A62A-752E41757233}"/>
            </c:ext>
          </c:extLst>
        </c:ser>
        <c:ser>
          <c:idx val="1"/>
          <c:order val="1"/>
          <c:tx>
            <c:strRef>
              <c:f>'Sort by US Golf &amp; HI'!$B$7</c:f>
              <c:strCache>
                <c:ptCount val="1"/>
                <c:pt idx="0">
                  <c:v>Not handicapped</c:v>
                </c:pt>
              </c:strCache>
            </c:strRef>
          </c:tx>
          <c:spPr>
            <a:solidFill>
              <a:srgbClr val="163A5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'Sort by US Golf &amp; HI'!$E$4:$F$4</c:f>
              <c:strCache>
                <c:ptCount val="2"/>
                <c:pt idx="0">
                  <c:v>Played US Golf</c:v>
                </c:pt>
                <c:pt idx="1">
                  <c:v>Not Played US Golf</c:v>
                </c:pt>
              </c:strCache>
            </c:strRef>
          </c:cat>
          <c:val>
            <c:numRef>
              <c:f>'Sort by US Golf &amp; HI'!$C$7:$D$7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CF-464B-A62A-752E41757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15"/>
        <c:axId val="1713583631"/>
        <c:axId val="1868288127"/>
      </c:barChart>
      <c:catAx>
        <c:axId val="171358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KE"/>
          </a:p>
        </c:txPr>
        <c:crossAx val="1868288127"/>
        <c:crosses val="autoZero"/>
        <c:auto val="1"/>
        <c:lblAlgn val="ctr"/>
        <c:lblOffset val="100"/>
        <c:noMultiLvlLbl val="0"/>
      </c:catAx>
      <c:valAx>
        <c:axId val="1868288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KE"/>
          </a:p>
        </c:txPr>
        <c:crossAx val="171358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 b="1">
          <a:solidFill>
            <a:sysClr val="windowText" lastClr="000000"/>
          </a:solidFill>
          <a:latin typeface="Avenir Next LT Pro" panose="020B05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'Sort by US Golf &amp; Age'!$C$5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6CA442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3B-489E-BCCD-AD7D35E97B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'Sort by US Golf &amp; Age'!$B$6:$B$10</c:f>
              <c:strCache>
                <c:ptCount val="5"/>
                <c:pt idx="0">
                  <c:v>4 years - 6 years</c:v>
                </c:pt>
                <c:pt idx="1">
                  <c:v>7 years - 9 years</c:v>
                </c:pt>
                <c:pt idx="2">
                  <c:v>10 years - 12 years</c:v>
                </c:pt>
                <c:pt idx="3">
                  <c:v>13 years - 15 years</c:v>
                </c:pt>
                <c:pt idx="4">
                  <c:v>16 years - 18 years</c:v>
                </c:pt>
              </c:strCache>
            </c:strRef>
          </c:cat>
          <c:val>
            <c:numRef>
              <c:f>'Sort by US Golf &amp; Age'!$C$6:$C$10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3B-489E-BCCD-AD7D35E97B18}"/>
            </c:ext>
          </c:extLst>
        </c:ser>
        <c:ser>
          <c:idx val="1"/>
          <c:order val="1"/>
          <c:tx>
            <c:strRef>
              <c:f>'Sort by US Golf &amp; Age'!$D$5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163A5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'Sort by US Golf &amp; Age'!$B$6:$B$10</c:f>
              <c:strCache>
                <c:ptCount val="5"/>
                <c:pt idx="0">
                  <c:v>4 years - 6 years</c:v>
                </c:pt>
                <c:pt idx="1">
                  <c:v>7 years - 9 years</c:v>
                </c:pt>
                <c:pt idx="2">
                  <c:v>10 years - 12 years</c:v>
                </c:pt>
                <c:pt idx="3">
                  <c:v>13 years - 15 years</c:v>
                </c:pt>
                <c:pt idx="4">
                  <c:v>16 years - 18 years</c:v>
                </c:pt>
              </c:strCache>
            </c:strRef>
          </c:cat>
          <c:val>
            <c:numRef>
              <c:f>'Sort by US Golf &amp; Age'!$D$6:$D$10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3B-489E-BCCD-AD7D35E97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5"/>
        <c:axId val="1773724031"/>
        <c:axId val="298593247"/>
      </c:barChart>
      <c:catAx>
        <c:axId val="177372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KE"/>
          </a:p>
        </c:txPr>
        <c:crossAx val="298593247"/>
        <c:crosses val="autoZero"/>
        <c:auto val="1"/>
        <c:lblAlgn val="ctr"/>
        <c:lblOffset val="100"/>
        <c:noMultiLvlLbl val="0"/>
      </c:catAx>
      <c:valAx>
        <c:axId val="298593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KE"/>
          </a:p>
        </c:txPr>
        <c:crossAx val="177372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venir Next LT Pro" panose="020B05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series layoutId="funnel" uniqueId="{626FB9A9-FA2A-4589-A8C8-C82CBF17216B}">
          <cx:spPr>
            <a:solidFill>
              <a:srgbClr val="163A56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>
                    <a:solidFill>
                      <a:schemeClr val="bg1"/>
                    </a:solidFill>
                    <a:latin typeface="Avenir Next LT Pro" panose="020B0504020202020204" pitchFamily="34" charset="0"/>
                    <a:ea typeface="Avenir Next LT Pro" panose="020B0504020202020204" pitchFamily="34" charset="0"/>
                    <a:cs typeface="Avenir Next LT Pro" panose="020B0504020202020204" pitchFamily="34" charset="0"/>
                  </a:defRPr>
                </a:pPr>
                <a:endParaRPr lang="en-US" sz="1200" b="1" i="0" u="none" strike="noStrike" baseline="0">
                  <a:solidFill>
                    <a:schemeClr val="bg1"/>
                  </a:solidFill>
                  <a:latin typeface="Avenir Next LT Pro" panose="020B0504020202020204" pitchFamily="34" charset="0"/>
                  <a:cs typeface="Arial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1">
                <a:solidFill>
                  <a:sysClr val="windowText" lastClr="000000"/>
                </a:solidFill>
                <a:latin typeface="Avenir Next LT Pro" panose="020B0504020202020204" pitchFamily="34" charset="0"/>
                <a:ea typeface="Avenir Next LT Pro" panose="020B0504020202020204" pitchFamily="34" charset="0"/>
                <a:cs typeface="Avenir Next LT Pro" panose="020B0504020202020204" pitchFamily="34" charset="0"/>
              </a:defRPr>
            </a:pPr>
            <a:endParaRPr lang="en-GB" b="1">
              <a:solidFill>
                <a:sysClr val="windowText" lastClr="000000"/>
              </a:solidFill>
              <a:latin typeface="Avenir Next LT Pro" panose="020B0504020202020204" pitchFamily="34" charset="0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plotArea>
      <cx:plotAreaRegion>
        <cx:series layoutId="funnel" uniqueId="{110A4978-790B-4014-A007-5717996A79A4}">
          <cx:spPr>
            <a:solidFill>
              <a:srgbClr val="6CA442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>
                    <a:solidFill>
                      <a:schemeClr val="bg1"/>
                    </a:solidFill>
                  </a:defRPr>
                </a:pPr>
                <a:endParaRPr lang="en-US" sz="1200" b="1" i="0" u="none" strike="noStrike" baseline="0">
                  <a:solidFill>
                    <a:schemeClr val="bg1"/>
                  </a:solidFill>
                  <a:latin typeface="Arial"/>
                  <a:cs typeface="Arial"/>
                </a:endParaRPr>
              </a:p>
            </cx:txPr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1">
                <a:solidFill>
                  <a:sysClr val="windowText" lastClr="000000"/>
                </a:solidFill>
                <a:latin typeface="Avenir Next LT Pro" panose="020B0504020202020204" pitchFamily="34" charset="0"/>
                <a:ea typeface="Avenir Next LT Pro" panose="020B0504020202020204" pitchFamily="34" charset="0"/>
                <a:cs typeface="Avenir Next LT Pro" panose="020B0504020202020204" pitchFamily="34" charset="0"/>
              </a:defRPr>
            </a:pPr>
            <a:endParaRPr lang="en-GB" b="1">
              <a:solidFill>
                <a:sysClr val="windowText" lastClr="000000"/>
              </a:solidFill>
              <a:latin typeface="Avenir Next LT Pro" panose="020B0504020202020204" pitchFamily="34" charset="0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2.xml"/><Relationship Id="rId7" Type="http://schemas.openxmlformats.org/officeDocument/2006/relationships/chart" Target="../charts/chart4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microsoft.com/office/2014/relationships/chartEx" Target="../charts/chartEx2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9</xdr:row>
      <xdr:rowOff>79374</xdr:rowOff>
    </xdr:from>
    <xdr:to>
      <xdr:col>5</xdr:col>
      <xdr:colOff>1016001</xdr:colOff>
      <xdr:row>25</xdr:row>
      <xdr:rowOff>136071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93A38C3-963F-46EC-B67E-0DCF2ABADE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02" y="1730374"/>
              <a:ext cx="6934199" cy="26982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8</xdr:row>
      <xdr:rowOff>87312</xdr:rowOff>
    </xdr:from>
    <xdr:to>
      <xdr:col>23</xdr:col>
      <xdr:colOff>539750</xdr:colOff>
      <xdr:row>27</xdr:row>
      <xdr:rowOff>15874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923529-14F5-4865-82BA-C679E6134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31</xdr:row>
      <xdr:rowOff>54429</xdr:rowOff>
    </xdr:from>
    <xdr:to>
      <xdr:col>23</xdr:col>
      <xdr:colOff>0</xdr:colOff>
      <xdr:row>49</xdr:row>
      <xdr:rowOff>133805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532A9D-B7E6-48C5-8289-3B5F83DD6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182563</xdr:colOff>
      <xdr:row>0</xdr:row>
      <xdr:rowOff>87314</xdr:rowOff>
    </xdr:from>
    <xdr:to>
      <xdr:col>1</xdr:col>
      <xdr:colOff>984250</xdr:colOff>
      <xdr:row>4</xdr:row>
      <xdr:rowOff>73092</xdr:rowOff>
    </xdr:to>
    <xdr:pic>
      <xdr:nvPicPr>
        <xdr:cNvPr id="8" name="Picture 7" descr="https://www.karencountryclub.org/getmedia/f4da55c8-8cad-44fb-9266-50a171eb427a/New_Logo_png.aspx?width=849&amp;amp;height=852&amp;amp;ext=.png&amp;ext=.png">
          <a:extLst>
            <a:ext uri="{FF2B5EF4-FFF2-40B4-BE49-F238E27FC236}">
              <a16:creationId xmlns:a16="http://schemas.microsoft.com/office/drawing/2014/main" id="{21CF433A-EE37-4498-9C4A-3448616BA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3" y="87314"/>
          <a:ext cx="801687" cy="811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5</xdr:col>
      <xdr:colOff>432025</xdr:colOff>
      <xdr:row>47</xdr:row>
      <xdr:rowOff>1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0F123A0E-D760-4F4E-A767-9086E136ED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00" y="5295900"/>
              <a:ext cx="6718525" cy="26416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734785</xdr:colOff>
      <xdr:row>8</xdr:row>
      <xdr:rowOff>81643</xdr:rowOff>
    </xdr:from>
    <xdr:to>
      <xdr:col>13</xdr:col>
      <xdr:colOff>526142</xdr:colOff>
      <xdr:row>27</xdr:row>
      <xdr:rowOff>126999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9D79F2C-7560-43FD-A369-B8786DC8F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52</xdr:row>
      <xdr:rowOff>0</xdr:rowOff>
    </xdr:from>
    <xdr:to>
      <xdr:col>5</xdr:col>
      <xdr:colOff>533400</xdr:colOff>
      <xdr:row>73</xdr:row>
      <xdr:rowOff>25400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2C48E7B-3F71-4687-A86B-7739534BD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13</xdr:col>
      <xdr:colOff>36287</xdr:colOff>
      <xdr:row>51</xdr:row>
      <xdr:rowOff>54428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6AA8BFF-BD9C-4A81-B869-7E160C084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3A4D-70A1-4577-A8F9-86B70F96DCC7}">
  <dimension ref="B2:W51"/>
  <sheetViews>
    <sheetView showGridLines="0" tabSelected="1" zoomScale="70" zoomScaleNormal="70" workbookViewId="0">
      <pane ySplit="5" topLeftCell="A6" activePane="bottomLeft" state="frozen"/>
      <selection pane="bottomLeft" activeCell="I2" sqref="I2"/>
    </sheetView>
  </sheetViews>
  <sheetFormatPr baseColWidth="10" defaultColWidth="8.6640625" defaultRowHeight="13" x14ac:dyDescent="0.2"/>
  <cols>
    <col min="1" max="1" width="2.6640625" style="1" customWidth="1"/>
    <col min="2" max="2" width="16.33203125" style="1" customWidth="1"/>
    <col min="3" max="3" width="35.1640625" style="1" customWidth="1"/>
    <col min="4" max="4" width="10.33203125" style="1" customWidth="1"/>
    <col min="5" max="5" width="20.6640625" style="1" customWidth="1"/>
    <col min="6" max="6" width="8.5" style="1" customWidth="1"/>
    <col min="7" max="8" width="10.5" style="1" customWidth="1"/>
    <col min="9" max="9" width="27.6640625" style="1" customWidth="1"/>
    <col min="10" max="10" width="10.5" style="1" customWidth="1"/>
    <col min="11" max="11" width="16.6640625" style="1" customWidth="1"/>
    <col min="12" max="12" width="19.6640625" style="1" customWidth="1"/>
    <col min="13" max="15" width="10.5" style="1" customWidth="1"/>
    <col min="16" max="22" width="8.6640625" style="1"/>
    <col min="23" max="23" width="16" style="1" customWidth="1"/>
    <col min="24" max="16384" width="8.6640625" style="1"/>
  </cols>
  <sheetData>
    <row r="2" spans="2:23" ht="23" x14ac:dyDescent="0.3">
      <c r="B2"/>
      <c r="C2" s="15" t="s">
        <v>33</v>
      </c>
    </row>
    <row r="4" spans="2:23" ht="15" x14ac:dyDescent="0.2">
      <c r="C4" s="16" t="s">
        <v>34</v>
      </c>
      <c r="D4" s="17">
        <v>102</v>
      </c>
    </row>
    <row r="8" spans="2:23" s="29" customFormat="1" ht="14" x14ac:dyDescent="0.2">
      <c r="B8" s="27" t="s">
        <v>35</v>
      </c>
      <c r="C8" s="28"/>
      <c r="D8" s="28"/>
      <c r="E8" s="28"/>
      <c r="F8" s="28"/>
      <c r="H8" s="27" t="s">
        <v>53</v>
      </c>
      <c r="I8" s="28"/>
      <c r="J8" s="28"/>
      <c r="K8" s="28"/>
      <c r="L8" s="28"/>
      <c r="M8" s="28"/>
      <c r="P8" s="30"/>
      <c r="Q8" s="27" t="s">
        <v>9</v>
      </c>
      <c r="R8" s="28"/>
      <c r="S8" s="28"/>
      <c r="T8" s="28"/>
      <c r="U8" s="28"/>
      <c r="V8" s="28"/>
      <c r="W8" s="28"/>
    </row>
    <row r="30" spans="2:23" s="29" customFormat="1" ht="14" x14ac:dyDescent="0.2">
      <c r="B30" s="27" t="s">
        <v>42</v>
      </c>
      <c r="C30" s="27"/>
      <c r="D30" s="27"/>
      <c r="E30" s="27"/>
      <c r="F30" s="27"/>
      <c r="H30" s="27" t="s">
        <v>57</v>
      </c>
      <c r="I30" s="28"/>
      <c r="J30" s="28"/>
      <c r="K30" s="28"/>
      <c r="L30" s="28"/>
      <c r="M30" s="28"/>
      <c r="P30" s="27" t="s">
        <v>40</v>
      </c>
      <c r="Q30" s="28"/>
      <c r="R30" s="28"/>
      <c r="S30" s="28"/>
      <c r="T30" s="28"/>
      <c r="U30" s="28"/>
      <c r="V30" s="28"/>
      <c r="W30" s="28"/>
    </row>
    <row r="51" spans="2:7" ht="14" x14ac:dyDescent="0.2">
      <c r="B51" s="27" t="s">
        <v>58</v>
      </c>
      <c r="C51" s="28"/>
      <c r="D51" s="28"/>
      <c r="E51" s="28"/>
      <c r="F51" s="28"/>
      <c r="G51" s="3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3916-A7CB-487F-9F59-F27F75072C4C}">
  <sheetPr>
    <outlinePr summaryBelow="0" summaryRight="0"/>
  </sheetPr>
  <dimension ref="A1:T11"/>
  <sheetViews>
    <sheetView showGridLines="0" zoomScale="80" zoomScaleNormal="80" workbookViewId="0">
      <pane ySplit="11" topLeftCell="A12" activePane="bottomLeft" state="frozen"/>
      <selection pane="bottomLeft" activeCell="B23" sqref="B12:T23"/>
    </sheetView>
  </sheetViews>
  <sheetFormatPr baseColWidth="10" defaultColWidth="12.6640625" defaultRowHeight="13" x14ac:dyDescent="0.15"/>
  <cols>
    <col min="1" max="1" width="3" style="12" customWidth="1"/>
    <col min="2" max="2" width="17.1640625" style="24" customWidth="1"/>
    <col min="3" max="4" width="16" style="10" customWidth="1"/>
    <col min="5" max="5" width="18.83203125" style="10" customWidth="1"/>
    <col min="6" max="6" width="24.6640625" style="10" customWidth="1"/>
    <col min="7" max="7" width="28.6640625" style="10" customWidth="1"/>
    <col min="8" max="10" width="18.83203125" style="10" customWidth="1"/>
    <col min="11" max="11" width="18.83203125" style="11" customWidth="1"/>
    <col min="12" max="13" width="18.83203125" style="10" customWidth="1"/>
    <col min="14" max="14" width="31" style="10" customWidth="1"/>
    <col min="15" max="16" width="18.83203125" style="10" customWidth="1"/>
    <col min="17" max="17" width="25.6640625" style="10" customWidth="1"/>
    <col min="18" max="18" width="21.6640625" style="10" customWidth="1"/>
    <col min="19" max="19" width="18.83203125" style="10" customWidth="1"/>
    <col min="20" max="20" width="64.5" style="10" customWidth="1"/>
    <col min="21" max="26" width="18.83203125" style="10" customWidth="1"/>
    <col min="27" max="16384" width="12.6640625" style="10"/>
  </cols>
  <sheetData>
    <row r="1" spans="1:20" s="12" customFormat="1" x14ac:dyDescent="0.15">
      <c r="K1" s="13"/>
    </row>
    <row r="2" spans="1:20" s="12" customFormat="1" ht="15" x14ac:dyDescent="0.15">
      <c r="B2" s="34" t="s">
        <v>53</v>
      </c>
      <c r="K2" s="13"/>
    </row>
    <row r="3" spans="1:20" s="12" customFormat="1" ht="10.5" customHeight="1" x14ac:dyDescent="0.15">
      <c r="B3" s="34"/>
      <c r="K3" s="13"/>
    </row>
    <row r="4" spans="1:20" s="12" customFormat="1" x14ac:dyDescent="0.15">
      <c r="B4" s="9"/>
      <c r="C4" s="36" t="s">
        <v>56</v>
      </c>
      <c r="D4" s="36" t="s">
        <v>32</v>
      </c>
      <c r="K4" s="13"/>
    </row>
    <row r="5" spans="1:20" s="12" customFormat="1" x14ac:dyDescent="0.15">
      <c r="B5" s="9" t="s">
        <v>54</v>
      </c>
      <c r="C5" s="9">
        <f>COUNTIF($D$11:$D$11,"M")</f>
        <v>0</v>
      </c>
      <c r="D5" s="37" t="e">
        <f>C5/$C$8</f>
        <v>#DIV/0!</v>
      </c>
      <c r="K5" s="13"/>
    </row>
    <row r="6" spans="1:20" s="12" customFormat="1" x14ac:dyDescent="0.15">
      <c r="B6" s="9" t="s">
        <v>55</v>
      </c>
      <c r="C6" s="9">
        <f>COUNTIF($D$11:$D$11,"F")</f>
        <v>0</v>
      </c>
      <c r="D6" s="37" t="e">
        <f>C6/$C$8</f>
        <v>#DIV/0!</v>
      </c>
      <c r="K6" s="13"/>
    </row>
    <row r="7" spans="1:20" s="12" customFormat="1" x14ac:dyDescent="0.15">
      <c r="B7" s="9" t="s">
        <v>46</v>
      </c>
      <c r="C7" s="9">
        <f>COUNTIF($D$11:$D$11,"")</f>
        <v>0</v>
      </c>
      <c r="D7" s="37" t="e">
        <f>C7/$C$8</f>
        <v>#DIV/0!</v>
      </c>
      <c r="K7" s="13"/>
    </row>
    <row r="8" spans="1:20" s="12" customFormat="1" x14ac:dyDescent="0.15">
      <c r="B8" s="36" t="s">
        <v>28</v>
      </c>
      <c r="C8" s="36">
        <f>SUM(C5:C7)</f>
        <v>0</v>
      </c>
      <c r="D8" s="38" t="e">
        <f>C8/$C$8</f>
        <v>#DIV/0!</v>
      </c>
      <c r="K8" s="13"/>
    </row>
    <row r="9" spans="1:20" s="12" customFormat="1" x14ac:dyDescent="0.15">
      <c r="K9" s="13"/>
    </row>
    <row r="10" spans="1:20" s="12" customFormat="1" x14ac:dyDescent="0.15">
      <c r="K10" s="13"/>
    </row>
    <row r="11" spans="1:20" s="3" customFormat="1" ht="42" x14ac:dyDescent="0.15">
      <c r="A11" s="31"/>
      <c r="B11" s="32" t="s">
        <v>1</v>
      </c>
      <c r="C11" s="7" t="s">
        <v>2</v>
      </c>
      <c r="D11" s="7" t="s">
        <v>52</v>
      </c>
      <c r="E11" s="7" t="s">
        <v>21</v>
      </c>
      <c r="F11" s="7" t="s">
        <v>3</v>
      </c>
      <c r="G11" s="7" t="s">
        <v>4</v>
      </c>
      <c r="H11" s="7" t="s">
        <v>5</v>
      </c>
      <c r="I11" s="7" t="s">
        <v>6</v>
      </c>
      <c r="J11" s="7" t="s">
        <v>7</v>
      </c>
      <c r="K11" s="8" t="s">
        <v>8</v>
      </c>
      <c r="L11" s="7" t="s">
        <v>9</v>
      </c>
      <c r="M11" s="7" t="s">
        <v>10</v>
      </c>
      <c r="N11" s="7" t="s">
        <v>11</v>
      </c>
      <c r="O11" s="7" t="s">
        <v>12</v>
      </c>
      <c r="P11" s="7" t="s">
        <v>13</v>
      </c>
      <c r="Q11" s="7" t="s">
        <v>14</v>
      </c>
      <c r="R11" s="7" t="s">
        <v>15</v>
      </c>
      <c r="S11" s="7" t="s">
        <v>16</v>
      </c>
      <c r="T11" s="7" t="s">
        <v>17</v>
      </c>
    </row>
  </sheetData>
  <autoFilter ref="B11:T11" xr:uid="{C468C516-F7A5-4FA8-8698-09FDD18FB4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B6C3-BB84-4F3C-8DB2-ACFE7D3C31B0}">
  <sheetPr>
    <outlinePr summaryBelow="0" summaryRight="0"/>
  </sheetPr>
  <dimension ref="A1:S10"/>
  <sheetViews>
    <sheetView showGridLines="0" zoomScale="80" zoomScaleNormal="80" workbookViewId="0">
      <pane xSplit="3" ySplit="10" topLeftCell="D11" activePane="bottomRight" state="frozen"/>
      <selection pane="topRight" activeCell="C1" sqref="C1"/>
      <selection pane="bottomLeft" activeCell="A11" sqref="A11"/>
      <selection pane="bottomRight" activeCell="B11" sqref="B11:S112"/>
    </sheetView>
  </sheetViews>
  <sheetFormatPr baseColWidth="10" defaultColWidth="12.6640625" defaultRowHeight="13" x14ac:dyDescent="0.15"/>
  <cols>
    <col min="1" max="1" width="2.6640625" style="12" customWidth="1"/>
    <col min="2" max="2" width="17.1640625" style="24" customWidth="1"/>
    <col min="3" max="3" width="16" style="10" customWidth="1"/>
    <col min="4" max="4" width="18.83203125" style="10" customWidth="1"/>
    <col min="5" max="5" width="24.6640625" style="21" customWidth="1"/>
    <col min="6" max="6" width="28.6640625" style="10" customWidth="1"/>
    <col min="7" max="7" width="18.83203125" style="10" customWidth="1"/>
    <col min="8" max="8" width="22.33203125" style="10" customWidth="1"/>
    <col min="9" max="9" width="18.83203125" style="10" customWidth="1"/>
    <col min="10" max="10" width="18.83203125" style="11" customWidth="1"/>
    <col min="11" max="12" width="18.83203125" style="10" customWidth="1"/>
    <col min="13" max="13" width="31" style="10" customWidth="1"/>
    <col min="14" max="15" width="18.83203125" style="10" customWidth="1"/>
    <col min="16" max="16" width="25.6640625" style="10" customWidth="1"/>
    <col min="17" max="17" width="21.6640625" style="10" customWidth="1"/>
    <col min="18" max="18" width="18.83203125" style="10" customWidth="1"/>
    <col min="19" max="19" width="64.5" style="10" customWidth="1"/>
    <col min="20" max="25" width="18.83203125" style="10" customWidth="1"/>
    <col min="26" max="16384" width="12.6640625" style="10"/>
  </cols>
  <sheetData>
    <row r="1" spans="1:19" s="12" customFormat="1" ht="15" x14ac:dyDescent="0.15">
      <c r="B1" s="34" t="s">
        <v>22</v>
      </c>
      <c r="E1" s="20"/>
      <c r="J1" s="13"/>
    </row>
    <row r="2" spans="1:19" s="12" customFormat="1" ht="5" customHeight="1" x14ac:dyDescent="0.15">
      <c r="E2" s="20"/>
      <c r="J2" s="13"/>
    </row>
    <row r="3" spans="1:19" s="12" customFormat="1" ht="15" customHeight="1" x14ac:dyDescent="0.15">
      <c r="B3" s="26" t="s">
        <v>23</v>
      </c>
      <c r="C3" s="9">
        <f>COUNTIF(D:D,"&lt;=6")</f>
        <v>0</v>
      </c>
      <c r="E3" s="20"/>
      <c r="J3" s="13"/>
    </row>
    <row r="4" spans="1:19" s="12" customFormat="1" ht="15" customHeight="1" x14ac:dyDescent="0.15">
      <c r="B4" s="26" t="s">
        <v>24</v>
      </c>
      <c r="C4" s="9">
        <f>COUNTIF(D:D,"=7")+COUNTIF(D:D,"=8")+COUNTIF(D:D,"=9")</f>
        <v>0</v>
      </c>
      <c r="E4" s="20"/>
      <c r="J4" s="13"/>
    </row>
    <row r="5" spans="1:19" s="12" customFormat="1" ht="15" customHeight="1" x14ac:dyDescent="0.15">
      <c r="B5" s="26" t="s">
        <v>25</v>
      </c>
      <c r="C5" s="9">
        <f>COUNTIF(D:D,"=10")+COUNTIF(D:D,"=11")+COUNTIF(D:D,"=12")</f>
        <v>0</v>
      </c>
      <c r="E5" s="20"/>
      <c r="J5" s="13"/>
    </row>
    <row r="6" spans="1:19" s="12" customFormat="1" ht="15" customHeight="1" x14ac:dyDescent="0.15">
      <c r="B6" s="26" t="s">
        <v>26</v>
      </c>
      <c r="C6" s="9">
        <f>COUNTIF(D:D,"=13")+COUNTIF(D:D,"=14")+COUNTIF(D:D,"=15")</f>
        <v>0</v>
      </c>
      <c r="E6" s="20"/>
      <c r="J6" s="13"/>
    </row>
    <row r="7" spans="1:19" s="12" customFormat="1" ht="15" customHeight="1" x14ac:dyDescent="0.15">
      <c r="B7" s="26" t="s">
        <v>27</v>
      </c>
      <c r="C7" s="9">
        <f>COUNTIF(D:D,"=16")+COUNTIF(D:D,"=17")+COUNTIF(D:D,"=18")</f>
        <v>0</v>
      </c>
      <c r="E7" s="20"/>
      <c r="J7" s="13"/>
    </row>
    <row r="8" spans="1:19" s="12" customFormat="1" ht="15" customHeight="1" x14ac:dyDescent="0.15">
      <c r="B8" s="35" t="s">
        <v>28</v>
      </c>
      <c r="C8" s="36">
        <f>SUM(C3:C7)</f>
        <v>0</v>
      </c>
      <c r="E8" s="20"/>
      <c r="J8" s="13"/>
    </row>
    <row r="9" spans="1:19" s="12" customFormat="1" x14ac:dyDescent="0.15">
      <c r="E9" s="20"/>
      <c r="J9" s="13"/>
    </row>
    <row r="10" spans="1:19" s="19" customFormat="1" ht="42" x14ac:dyDescent="0.15">
      <c r="A10" s="23"/>
      <c r="B10" s="22" t="s">
        <v>1</v>
      </c>
      <c r="C10" s="18" t="s">
        <v>2</v>
      </c>
      <c r="D10" s="18" t="s">
        <v>21</v>
      </c>
      <c r="E10" s="18" t="s">
        <v>3</v>
      </c>
      <c r="F10" s="18" t="s">
        <v>4</v>
      </c>
      <c r="G10" s="18" t="s">
        <v>5</v>
      </c>
      <c r="H10" s="18" t="s">
        <v>6</v>
      </c>
      <c r="I10" s="18" t="s">
        <v>7</v>
      </c>
      <c r="J10" s="18" t="s">
        <v>8</v>
      </c>
      <c r="K10" s="18" t="s">
        <v>9</v>
      </c>
      <c r="L10" s="18" t="s">
        <v>10</v>
      </c>
      <c r="M10" s="18" t="s">
        <v>11</v>
      </c>
      <c r="N10" s="18" t="s">
        <v>12</v>
      </c>
      <c r="O10" s="18" t="s">
        <v>13</v>
      </c>
      <c r="P10" s="18" t="s">
        <v>14</v>
      </c>
      <c r="Q10" s="18" t="s">
        <v>15</v>
      </c>
      <c r="R10" s="18" t="s">
        <v>16</v>
      </c>
      <c r="S10" s="18" t="s">
        <v>17</v>
      </c>
    </row>
  </sheetData>
  <autoFilter ref="B10:S10" xr:uid="{B936C8EB-E003-468B-8624-261A390A9D2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1F0A-2B24-4B93-891C-63CCFD3778B5}">
  <sheetPr>
    <outlinePr summaryBelow="0" summaryRight="0"/>
  </sheetPr>
  <dimension ref="A1:S87"/>
  <sheetViews>
    <sheetView showGridLines="0" zoomScale="80" zoomScaleNormal="80" workbookViewId="0">
      <pane xSplit="3" ySplit="9" topLeftCell="D24" activePane="bottomRight" state="frozen"/>
      <selection pane="topRight" activeCell="C1" sqref="C1"/>
      <selection pane="bottomLeft" activeCell="A7" sqref="A7"/>
      <selection pane="bottomRight" activeCell="B28" sqref="B10:S28"/>
    </sheetView>
  </sheetViews>
  <sheetFormatPr baseColWidth="10" defaultColWidth="12.6640625" defaultRowHeight="13" x14ac:dyDescent="0.15"/>
  <cols>
    <col min="1" max="1" width="3.6640625" style="12" customWidth="1"/>
    <col min="2" max="2" width="21.6640625" style="24" customWidth="1"/>
    <col min="3" max="3" width="16" style="10" customWidth="1"/>
    <col min="4" max="4" width="18.83203125" style="10" customWidth="1"/>
    <col min="5" max="5" width="24.6640625" style="21" customWidth="1"/>
    <col min="6" max="6" width="28.6640625" style="10" customWidth="1"/>
    <col min="7" max="8" width="18.83203125" style="10" customWidth="1"/>
    <col min="9" max="9" width="18.83203125" style="21" customWidth="1"/>
    <col min="10" max="10" width="18.83203125" style="11" customWidth="1"/>
    <col min="11" max="12" width="18.83203125" style="10" customWidth="1"/>
    <col min="13" max="13" width="31" style="10" customWidth="1"/>
    <col min="14" max="15" width="18.83203125" style="10" customWidth="1"/>
    <col min="16" max="16" width="25.6640625" style="10" customWidth="1"/>
    <col min="17" max="17" width="21.6640625" style="10" customWidth="1"/>
    <col min="18" max="18" width="18.83203125" style="10" customWidth="1"/>
    <col min="19" max="19" width="64.5" style="10" customWidth="1"/>
    <col min="20" max="25" width="18.83203125" style="10" customWidth="1"/>
    <col min="26" max="16384" width="12.6640625" style="10"/>
  </cols>
  <sheetData>
    <row r="1" spans="1:19" s="12" customFormat="1" ht="15" x14ac:dyDescent="0.15">
      <c r="B1" s="34" t="s">
        <v>9</v>
      </c>
      <c r="E1" s="20"/>
      <c r="I1" s="20"/>
      <c r="J1" s="13"/>
    </row>
    <row r="2" spans="1:19" s="12" customFormat="1" ht="8.75" customHeight="1" x14ac:dyDescent="0.15">
      <c r="E2" s="20"/>
      <c r="I2" s="20"/>
      <c r="J2" s="13"/>
    </row>
    <row r="3" spans="1:19" s="12" customFormat="1" ht="15" customHeight="1" x14ac:dyDescent="0.15">
      <c r="B3" s="35"/>
      <c r="C3" s="36" t="s">
        <v>31</v>
      </c>
      <c r="D3" s="39" t="s">
        <v>32</v>
      </c>
      <c r="E3" s="20"/>
      <c r="I3" s="20"/>
      <c r="J3" s="13"/>
    </row>
    <row r="4" spans="1:19" s="12" customFormat="1" ht="15" customHeight="1" x14ac:dyDescent="0.15">
      <c r="B4" s="26" t="s">
        <v>30</v>
      </c>
      <c r="C4" s="9">
        <f>COUNTIF(K:K,"Yes")</f>
        <v>0</v>
      </c>
      <c r="D4" s="37" t="e">
        <f>C4/$C$6</f>
        <v>#DIV/0!</v>
      </c>
      <c r="E4" s="20"/>
      <c r="I4" s="20"/>
      <c r="J4" s="13"/>
    </row>
    <row r="5" spans="1:19" s="12" customFormat="1" ht="15" customHeight="1" x14ac:dyDescent="0.15">
      <c r="B5" s="26" t="s">
        <v>29</v>
      </c>
      <c r="C5" s="9">
        <f>COUNTIF(K:K,"No")</f>
        <v>0</v>
      </c>
      <c r="D5" s="37" t="e">
        <f t="shared" ref="D5:D6" si="0">C5/$C$6</f>
        <v>#DIV/0!</v>
      </c>
      <c r="E5" s="20"/>
      <c r="I5" s="20"/>
      <c r="J5" s="13"/>
    </row>
    <row r="6" spans="1:19" s="12" customFormat="1" ht="15" customHeight="1" x14ac:dyDescent="0.15">
      <c r="B6" s="35" t="s">
        <v>28</v>
      </c>
      <c r="C6" s="36">
        <f>SUM(C4:C5)</f>
        <v>0</v>
      </c>
      <c r="D6" s="38" t="e">
        <f t="shared" si="0"/>
        <v>#DIV/0!</v>
      </c>
      <c r="E6" s="20"/>
      <c r="I6" s="20"/>
      <c r="J6" s="13"/>
    </row>
    <row r="7" spans="1:19" s="12" customFormat="1" x14ac:dyDescent="0.15">
      <c r="E7" s="20"/>
      <c r="I7" s="20"/>
      <c r="J7" s="13"/>
    </row>
    <row r="8" spans="1:19" s="12" customFormat="1" x14ac:dyDescent="0.15">
      <c r="E8" s="20"/>
      <c r="I8" s="20"/>
      <c r="J8" s="13"/>
    </row>
    <row r="9" spans="1:19" s="19" customFormat="1" ht="42" x14ac:dyDescent="0.15">
      <c r="A9" s="23"/>
      <c r="B9" s="22" t="s">
        <v>1</v>
      </c>
      <c r="C9" s="18" t="s">
        <v>2</v>
      </c>
      <c r="D9" s="18" t="s">
        <v>21</v>
      </c>
      <c r="E9" s="18" t="s">
        <v>3</v>
      </c>
      <c r="F9" s="18" t="s">
        <v>4</v>
      </c>
      <c r="G9" s="18" t="s">
        <v>5</v>
      </c>
      <c r="H9" s="18" t="s">
        <v>6</v>
      </c>
      <c r="I9" s="18" t="s">
        <v>7</v>
      </c>
      <c r="J9" s="18" t="s">
        <v>8</v>
      </c>
      <c r="K9" s="18" t="s">
        <v>9</v>
      </c>
      <c r="L9" s="18" t="s">
        <v>10</v>
      </c>
      <c r="M9" s="18" t="s">
        <v>11</v>
      </c>
      <c r="N9" s="18" t="s">
        <v>12</v>
      </c>
      <c r="O9" s="18" t="s">
        <v>13</v>
      </c>
      <c r="P9" s="18" t="s">
        <v>14</v>
      </c>
      <c r="Q9" s="18" t="s">
        <v>15</v>
      </c>
      <c r="R9" s="18" t="s">
        <v>16</v>
      </c>
      <c r="S9" s="18" t="s">
        <v>17</v>
      </c>
    </row>
    <row r="10" spans="1:19" x14ac:dyDescent="0.15">
      <c r="B10" s="10"/>
      <c r="E10" s="10"/>
      <c r="I10" s="10"/>
      <c r="J10" s="10"/>
    </row>
    <row r="11" spans="1:19" x14ac:dyDescent="0.15">
      <c r="B11" s="10"/>
      <c r="E11" s="10"/>
      <c r="I11" s="10"/>
      <c r="J11" s="10"/>
    </row>
    <row r="12" spans="1:19" x14ac:dyDescent="0.15">
      <c r="B12" s="10"/>
      <c r="E12" s="10"/>
      <c r="I12" s="10"/>
      <c r="J12" s="10"/>
    </row>
    <row r="13" spans="1:19" x14ac:dyDescent="0.15">
      <c r="B13" s="10"/>
      <c r="E13" s="10"/>
      <c r="I13" s="10"/>
      <c r="J13" s="10"/>
    </row>
    <row r="14" spans="1:19" x14ac:dyDescent="0.15">
      <c r="B14" s="10"/>
      <c r="E14" s="10"/>
      <c r="I14" s="10"/>
      <c r="J14" s="10"/>
    </row>
    <row r="15" spans="1:19" x14ac:dyDescent="0.15">
      <c r="B15" s="10"/>
      <c r="E15" s="10"/>
      <c r="I15" s="10"/>
      <c r="J15" s="10"/>
    </row>
    <row r="16" spans="1:19" x14ac:dyDescent="0.15">
      <c r="B16" s="10"/>
      <c r="E16" s="10"/>
      <c r="I16" s="10"/>
      <c r="J16" s="10"/>
    </row>
    <row r="17" spans="2:10" x14ac:dyDescent="0.15">
      <c r="B17" s="10"/>
      <c r="E17" s="10"/>
      <c r="I17" s="10"/>
      <c r="J17" s="10"/>
    </row>
    <row r="18" spans="2:10" x14ac:dyDescent="0.15">
      <c r="B18" s="10"/>
      <c r="E18" s="10"/>
      <c r="I18" s="10"/>
      <c r="J18" s="10"/>
    </row>
    <row r="19" spans="2:10" x14ac:dyDescent="0.15">
      <c r="B19" s="10"/>
      <c r="E19" s="10"/>
      <c r="I19" s="10"/>
      <c r="J19" s="10"/>
    </row>
    <row r="20" spans="2:10" x14ac:dyDescent="0.15">
      <c r="B20" s="10"/>
      <c r="E20" s="10"/>
      <c r="I20" s="10"/>
      <c r="J20" s="10"/>
    </row>
    <row r="21" spans="2:10" x14ac:dyDescent="0.15">
      <c r="B21" s="10"/>
      <c r="E21" s="10"/>
      <c r="I21" s="10"/>
      <c r="J21" s="10"/>
    </row>
    <row r="22" spans="2:10" x14ac:dyDescent="0.15">
      <c r="B22" s="10"/>
      <c r="E22" s="10"/>
      <c r="I22" s="10"/>
      <c r="J22" s="10"/>
    </row>
    <row r="23" spans="2:10" x14ac:dyDescent="0.15">
      <c r="B23" s="10"/>
      <c r="E23" s="10"/>
      <c r="I23" s="10"/>
      <c r="J23" s="10"/>
    </row>
    <row r="24" spans="2:10" x14ac:dyDescent="0.15">
      <c r="B24" s="10"/>
      <c r="E24" s="10"/>
      <c r="I24" s="10"/>
      <c r="J24" s="10"/>
    </row>
    <row r="25" spans="2:10" x14ac:dyDescent="0.15">
      <c r="B25" s="10"/>
      <c r="E25" s="10"/>
      <c r="I25" s="10"/>
      <c r="J25" s="10"/>
    </row>
    <row r="26" spans="2:10" x14ac:dyDescent="0.15">
      <c r="B26" s="10"/>
      <c r="E26" s="10"/>
      <c r="I26" s="10"/>
      <c r="J26" s="10"/>
    </row>
    <row r="27" spans="2:10" x14ac:dyDescent="0.15">
      <c r="B27" s="10"/>
      <c r="E27" s="10"/>
      <c r="I27" s="10"/>
      <c r="J27" s="10"/>
    </row>
    <row r="28" spans="2:10" x14ac:dyDescent="0.15">
      <c r="B28" s="10"/>
      <c r="E28" s="10"/>
      <c r="I28" s="10"/>
      <c r="J28" s="10"/>
    </row>
    <row r="29" spans="2:10" x14ac:dyDescent="0.15">
      <c r="B29" s="10"/>
      <c r="E29" s="10"/>
      <c r="I29" s="10"/>
      <c r="J29" s="10"/>
    </row>
    <row r="30" spans="2:10" x14ac:dyDescent="0.15">
      <c r="B30" s="10"/>
      <c r="E30" s="10"/>
      <c r="I30" s="10"/>
      <c r="J30" s="10"/>
    </row>
    <row r="31" spans="2:10" x14ac:dyDescent="0.15">
      <c r="B31" s="10"/>
      <c r="E31" s="10"/>
      <c r="I31" s="10"/>
      <c r="J31" s="10"/>
    </row>
    <row r="32" spans="2:10" x14ac:dyDescent="0.15">
      <c r="B32" s="10"/>
      <c r="E32" s="10"/>
      <c r="I32" s="10"/>
      <c r="J32" s="10"/>
    </row>
    <row r="33" spans="2:10" x14ac:dyDescent="0.15">
      <c r="B33" s="10"/>
      <c r="E33" s="10"/>
      <c r="I33" s="10"/>
      <c r="J33" s="10"/>
    </row>
    <row r="34" spans="2:10" x14ac:dyDescent="0.15">
      <c r="B34" s="10"/>
      <c r="E34" s="10"/>
      <c r="I34" s="10"/>
      <c r="J34" s="10"/>
    </row>
    <row r="35" spans="2:10" x14ac:dyDescent="0.15">
      <c r="B35" s="10"/>
      <c r="E35" s="10"/>
      <c r="I35" s="10"/>
      <c r="J35" s="10"/>
    </row>
    <row r="36" spans="2:10" x14ac:dyDescent="0.15">
      <c r="B36" s="10"/>
      <c r="E36" s="10"/>
      <c r="I36" s="10"/>
      <c r="J36" s="10"/>
    </row>
    <row r="37" spans="2:10" x14ac:dyDescent="0.15">
      <c r="B37" s="10"/>
      <c r="E37" s="10"/>
      <c r="I37" s="10"/>
      <c r="J37" s="10"/>
    </row>
    <row r="38" spans="2:10" x14ac:dyDescent="0.15">
      <c r="B38" s="10"/>
      <c r="E38" s="10"/>
      <c r="I38" s="10"/>
      <c r="J38" s="10"/>
    </row>
    <row r="39" spans="2:10" x14ac:dyDescent="0.15">
      <c r="B39" s="10"/>
      <c r="E39" s="10"/>
      <c r="I39" s="10"/>
      <c r="J39" s="10"/>
    </row>
    <row r="40" spans="2:10" x14ac:dyDescent="0.15">
      <c r="B40" s="10"/>
      <c r="E40" s="10"/>
      <c r="I40" s="10"/>
      <c r="J40" s="10"/>
    </row>
    <row r="41" spans="2:10" x14ac:dyDescent="0.15">
      <c r="B41" s="10"/>
      <c r="E41" s="10"/>
      <c r="I41" s="10"/>
      <c r="J41" s="10"/>
    </row>
    <row r="42" spans="2:10" x14ac:dyDescent="0.15">
      <c r="B42" s="10"/>
      <c r="E42" s="10"/>
      <c r="I42" s="10"/>
      <c r="J42" s="10"/>
    </row>
    <row r="43" spans="2:10" x14ac:dyDescent="0.15">
      <c r="B43" s="10"/>
      <c r="E43" s="10"/>
      <c r="I43" s="10"/>
      <c r="J43" s="10"/>
    </row>
    <row r="44" spans="2:10" x14ac:dyDescent="0.15">
      <c r="B44" s="10"/>
      <c r="E44" s="10"/>
      <c r="I44" s="10"/>
      <c r="J44" s="10"/>
    </row>
    <row r="45" spans="2:10" x14ac:dyDescent="0.15">
      <c r="B45" s="10"/>
      <c r="E45" s="10"/>
      <c r="I45" s="10"/>
      <c r="J45" s="10"/>
    </row>
    <row r="46" spans="2:10" x14ac:dyDescent="0.15">
      <c r="B46" s="10"/>
      <c r="E46" s="10"/>
      <c r="I46" s="10"/>
      <c r="J46" s="10"/>
    </row>
    <row r="47" spans="2:10" x14ac:dyDescent="0.15">
      <c r="B47" s="10"/>
      <c r="E47" s="10"/>
      <c r="I47" s="10"/>
      <c r="J47" s="10"/>
    </row>
    <row r="48" spans="2:10" x14ac:dyDescent="0.15">
      <c r="B48" s="10"/>
      <c r="E48" s="10"/>
      <c r="I48" s="10"/>
      <c r="J48" s="10"/>
    </row>
    <row r="49" spans="2:10" x14ac:dyDescent="0.15">
      <c r="B49" s="10"/>
      <c r="E49" s="10"/>
      <c r="I49" s="10"/>
      <c r="J49" s="10"/>
    </row>
    <row r="50" spans="2:10" x14ac:dyDescent="0.15">
      <c r="B50" s="10"/>
      <c r="E50" s="10"/>
      <c r="I50" s="10"/>
      <c r="J50" s="10"/>
    </row>
    <row r="51" spans="2:10" x14ac:dyDescent="0.15">
      <c r="B51" s="10"/>
      <c r="E51" s="10"/>
      <c r="I51" s="10"/>
      <c r="J51" s="10"/>
    </row>
    <row r="52" spans="2:10" x14ac:dyDescent="0.15">
      <c r="B52" s="10"/>
      <c r="E52" s="10"/>
      <c r="I52" s="10"/>
      <c r="J52" s="10"/>
    </row>
    <row r="53" spans="2:10" x14ac:dyDescent="0.15">
      <c r="B53" s="10"/>
      <c r="E53" s="10"/>
      <c r="I53" s="10"/>
      <c r="J53" s="10"/>
    </row>
    <row r="54" spans="2:10" x14ac:dyDescent="0.15">
      <c r="B54" s="10"/>
      <c r="E54" s="10"/>
      <c r="I54" s="10"/>
      <c r="J54" s="10"/>
    </row>
    <row r="55" spans="2:10" x14ac:dyDescent="0.15">
      <c r="B55" s="10"/>
      <c r="E55" s="10"/>
      <c r="I55" s="10"/>
      <c r="J55" s="10"/>
    </row>
    <row r="56" spans="2:10" x14ac:dyDescent="0.15">
      <c r="B56" s="10"/>
      <c r="E56" s="10"/>
      <c r="I56" s="10"/>
      <c r="J56" s="10"/>
    </row>
    <row r="57" spans="2:10" x14ac:dyDescent="0.15">
      <c r="B57" s="10"/>
      <c r="E57" s="10"/>
      <c r="I57" s="10"/>
      <c r="J57" s="10"/>
    </row>
    <row r="58" spans="2:10" x14ac:dyDescent="0.15">
      <c r="B58" s="10"/>
      <c r="E58" s="10"/>
      <c r="I58" s="10"/>
      <c r="J58" s="10"/>
    </row>
    <row r="59" spans="2:10" x14ac:dyDescent="0.15">
      <c r="B59" s="10"/>
      <c r="E59" s="10"/>
      <c r="I59" s="10"/>
      <c r="J59" s="10"/>
    </row>
    <row r="60" spans="2:10" x14ac:dyDescent="0.15">
      <c r="B60" s="10"/>
      <c r="E60" s="10"/>
      <c r="I60" s="10"/>
      <c r="J60" s="10"/>
    </row>
    <row r="61" spans="2:10" x14ac:dyDescent="0.15">
      <c r="B61" s="10"/>
      <c r="E61" s="10"/>
      <c r="I61" s="10"/>
      <c r="J61" s="10"/>
    </row>
    <row r="62" spans="2:10" x14ac:dyDescent="0.15">
      <c r="B62" s="10"/>
      <c r="E62" s="10"/>
      <c r="I62" s="10"/>
      <c r="J62" s="10"/>
    </row>
    <row r="63" spans="2:10" x14ac:dyDescent="0.15">
      <c r="B63" s="10"/>
      <c r="E63" s="10"/>
      <c r="I63" s="10"/>
      <c r="J63" s="10"/>
    </row>
    <row r="64" spans="2:10" x14ac:dyDescent="0.15">
      <c r="B64" s="10"/>
      <c r="E64" s="10"/>
      <c r="I64" s="10"/>
      <c r="J64" s="10"/>
    </row>
    <row r="65" spans="2:10" x14ac:dyDescent="0.15">
      <c r="B65" s="10"/>
      <c r="E65" s="10"/>
      <c r="I65" s="10"/>
      <c r="J65" s="10"/>
    </row>
    <row r="66" spans="2:10" x14ac:dyDescent="0.15">
      <c r="B66" s="10"/>
      <c r="E66" s="10"/>
      <c r="I66" s="10"/>
      <c r="J66" s="10"/>
    </row>
    <row r="67" spans="2:10" x14ac:dyDescent="0.15">
      <c r="B67" s="10"/>
      <c r="E67" s="10"/>
      <c r="I67" s="10"/>
      <c r="J67" s="10"/>
    </row>
    <row r="68" spans="2:10" x14ac:dyDescent="0.15">
      <c r="B68" s="10"/>
      <c r="E68" s="10"/>
      <c r="I68" s="10"/>
      <c r="J68" s="10"/>
    </row>
    <row r="69" spans="2:10" x14ac:dyDescent="0.15">
      <c r="B69" s="10"/>
      <c r="E69" s="10"/>
      <c r="I69" s="10"/>
      <c r="J69" s="10"/>
    </row>
    <row r="70" spans="2:10" x14ac:dyDescent="0.15">
      <c r="B70" s="10"/>
      <c r="E70" s="10"/>
      <c r="I70" s="10"/>
      <c r="J70" s="10"/>
    </row>
    <row r="71" spans="2:10" x14ac:dyDescent="0.15">
      <c r="B71" s="10"/>
      <c r="E71" s="10"/>
      <c r="I71" s="10"/>
      <c r="J71" s="10"/>
    </row>
    <row r="72" spans="2:10" x14ac:dyDescent="0.15">
      <c r="B72" s="10"/>
      <c r="E72" s="10"/>
      <c r="I72" s="10"/>
      <c r="J72" s="10"/>
    </row>
    <row r="73" spans="2:10" x14ac:dyDescent="0.15">
      <c r="B73" s="10"/>
      <c r="E73" s="10"/>
      <c r="I73" s="10"/>
      <c r="J73" s="10"/>
    </row>
    <row r="74" spans="2:10" x14ac:dyDescent="0.15">
      <c r="B74" s="10"/>
      <c r="E74" s="10"/>
      <c r="I74" s="10"/>
      <c r="J74" s="10"/>
    </row>
    <row r="75" spans="2:10" x14ac:dyDescent="0.15">
      <c r="B75" s="10"/>
      <c r="E75" s="10"/>
      <c r="I75" s="10"/>
      <c r="J75" s="10"/>
    </row>
    <row r="76" spans="2:10" x14ac:dyDescent="0.15">
      <c r="B76" s="10"/>
      <c r="E76" s="10"/>
      <c r="I76" s="10"/>
      <c r="J76" s="10"/>
    </row>
    <row r="77" spans="2:10" x14ac:dyDescent="0.15">
      <c r="B77" s="10"/>
      <c r="E77" s="10"/>
      <c r="I77" s="10"/>
      <c r="J77" s="10"/>
    </row>
    <row r="78" spans="2:10" x14ac:dyDescent="0.15">
      <c r="B78" s="10"/>
      <c r="E78" s="10"/>
      <c r="I78" s="10"/>
      <c r="J78" s="10"/>
    </row>
    <row r="79" spans="2:10" x14ac:dyDescent="0.15">
      <c r="B79" s="10"/>
      <c r="E79" s="10"/>
      <c r="I79" s="10"/>
      <c r="J79" s="10"/>
    </row>
    <row r="80" spans="2:10" x14ac:dyDescent="0.15">
      <c r="B80" s="10"/>
      <c r="E80" s="10"/>
      <c r="I80" s="10"/>
      <c r="J80" s="10"/>
    </row>
    <row r="81" spans="2:10" x14ac:dyDescent="0.15">
      <c r="B81" s="10"/>
      <c r="E81" s="10"/>
      <c r="I81" s="10"/>
      <c r="J81" s="10"/>
    </row>
    <row r="82" spans="2:10" x14ac:dyDescent="0.15">
      <c r="B82" s="10"/>
      <c r="E82" s="10"/>
      <c r="I82" s="10"/>
      <c r="J82" s="10"/>
    </row>
    <row r="83" spans="2:10" x14ac:dyDescent="0.15">
      <c r="B83" s="10"/>
      <c r="E83" s="10"/>
      <c r="I83" s="10"/>
      <c r="J83" s="10"/>
    </row>
    <row r="84" spans="2:10" x14ac:dyDescent="0.15">
      <c r="B84" s="10"/>
      <c r="E84" s="10"/>
      <c r="I84" s="10"/>
      <c r="J84" s="10"/>
    </row>
    <row r="85" spans="2:10" x14ac:dyDescent="0.15">
      <c r="B85" s="10"/>
      <c r="E85" s="10"/>
      <c r="I85" s="10"/>
      <c r="J85" s="10"/>
    </row>
    <row r="86" spans="2:10" x14ac:dyDescent="0.15">
      <c r="B86" s="10"/>
      <c r="E86" s="10"/>
      <c r="I86" s="10"/>
      <c r="J86" s="10"/>
    </row>
    <row r="87" spans="2:10" x14ac:dyDescent="0.15">
      <c r="B87" s="10"/>
      <c r="E87" s="10"/>
      <c r="I87" s="10"/>
      <c r="J87" s="10"/>
    </row>
  </sheetData>
  <sortState xmlns:xlrd2="http://schemas.microsoft.com/office/spreadsheetml/2017/richdata2" ref="B10:S87">
    <sortCondition descending="1" ref="K10:K87"/>
    <sortCondition ref="B10:B8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0CCF-581F-4010-A8CF-281CB17957D2}">
  <sheetPr>
    <outlinePr summaryBelow="0" summaryRight="0"/>
  </sheetPr>
  <dimension ref="A1:T11"/>
  <sheetViews>
    <sheetView showGridLines="0" zoomScale="80" zoomScaleNormal="80" workbookViewId="0">
      <pane xSplit="3" ySplit="11" topLeftCell="D12" activePane="bottomRight" state="frozen"/>
      <selection pane="topRight" activeCell="C1" sqref="C1"/>
      <selection pane="bottomLeft" activeCell="A4" sqref="A4"/>
      <selection pane="bottomRight" activeCell="B12" sqref="B12:T113"/>
    </sheetView>
  </sheetViews>
  <sheetFormatPr baseColWidth="10" defaultColWidth="12.6640625" defaultRowHeight="13" x14ac:dyDescent="0.15"/>
  <cols>
    <col min="1" max="1" width="3" style="12" customWidth="1"/>
    <col min="2" max="2" width="17.1640625" style="24" customWidth="1"/>
    <col min="3" max="3" width="16" style="10" customWidth="1"/>
    <col min="4" max="5" width="18.83203125" style="10" customWidth="1"/>
    <col min="6" max="6" width="24.6640625" style="21" customWidth="1"/>
    <col min="7" max="7" width="28.6640625" style="10" customWidth="1"/>
    <col min="8" max="9" width="18.83203125" style="10" customWidth="1"/>
    <col min="10" max="10" width="18.83203125" style="21" customWidth="1"/>
    <col min="11" max="11" width="18.83203125" style="11" customWidth="1"/>
    <col min="12" max="13" width="18.83203125" style="10" customWidth="1"/>
    <col min="14" max="14" width="31" style="10" customWidth="1"/>
    <col min="15" max="16" width="18.83203125" style="10" customWidth="1"/>
    <col min="17" max="17" width="25.6640625" style="10" customWidth="1"/>
    <col min="18" max="18" width="21.6640625" style="10" customWidth="1"/>
    <col min="19" max="19" width="18.83203125" style="10" customWidth="1"/>
    <col min="20" max="20" width="64.5" style="10" customWidth="1"/>
    <col min="21" max="26" width="18.83203125" style="10" customWidth="1"/>
    <col min="27" max="16384" width="12.6640625" style="10"/>
  </cols>
  <sheetData>
    <row r="1" spans="1:20" s="12" customFormat="1" ht="15" x14ac:dyDescent="0.15">
      <c r="B1" s="34" t="s">
        <v>42</v>
      </c>
      <c r="F1" s="20"/>
      <c r="J1" s="20"/>
      <c r="K1" s="13"/>
    </row>
    <row r="2" spans="1:20" s="12" customFormat="1" ht="15" x14ac:dyDescent="0.15">
      <c r="B2" s="34"/>
      <c r="F2" s="20"/>
      <c r="J2" s="20"/>
      <c r="K2" s="13"/>
    </row>
    <row r="3" spans="1:20" s="12" customFormat="1" x14ac:dyDescent="0.15">
      <c r="B3" s="26" t="s">
        <v>20</v>
      </c>
      <c r="C3" s="9">
        <f>COUNTIFS(P:P,"=0")</f>
        <v>0</v>
      </c>
      <c r="F3" s="20"/>
      <c r="J3" s="20"/>
      <c r="K3" s="13"/>
    </row>
    <row r="4" spans="1:20" s="12" customFormat="1" x14ac:dyDescent="0.15">
      <c r="B4" s="26" t="s">
        <v>43</v>
      </c>
      <c r="C4" s="9">
        <f>COUNTIFS(P:P,"&lt;1",P:P,"&gt;0")</f>
        <v>0</v>
      </c>
      <c r="F4" s="20"/>
      <c r="J4" s="20"/>
      <c r="K4" s="13"/>
    </row>
    <row r="5" spans="1:20" s="12" customFormat="1" x14ac:dyDescent="0.15">
      <c r="B5" s="26" t="s">
        <v>44</v>
      </c>
      <c r="C5" s="9">
        <v>33</v>
      </c>
      <c r="F5" s="20"/>
      <c r="J5" s="20"/>
      <c r="K5" s="13"/>
    </row>
    <row r="6" spans="1:20" s="12" customFormat="1" x14ac:dyDescent="0.15">
      <c r="B6" s="26" t="s">
        <v>23</v>
      </c>
      <c r="C6" s="9">
        <f>COUNTIF(P:P,"=4")+COUNTIF(P:P,"=5")+COUNTIF(P:P,"=6")</f>
        <v>0</v>
      </c>
      <c r="F6" s="20"/>
      <c r="J6" s="20"/>
      <c r="K6" s="13"/>
    </row>
    <row r="7" spans="1:20" s="12" customFormat="1" x14ac:dyDescent="0.15">
      <c r="B7" s="26" t="s">
        <v>45</v>
      </c>
      <c r="C7" s="9">
        <f>COUNTIF(P:P,"=7")+COUNTIF(P:P,"=8")+COUNTIF(P:P,"=9")+COUNTIF(P:P,"=10")</f>
        <v>0</v>
      </c>
      <c r="F7" s="20"/>
      <c r="J7" s="20"/>
      <c r="K7" s="13"/>
    </row>
    <row r="8" spans="1:20" s="12" customFormat="1" x14ac:dyDescent="0.15">
      <c r="B8" s="26" t="s">
        <v>46</v>
      </c>
      <c r="C8" s="9">
        <v>23</v>
      </c>
      <c r="F8" s="20"/>
      <c r="J8" s="20"/>
      <c r="K8" s="13"/>
    </row>
    <row r="9" spans="1:20" s="12" customFormat="1" x14ac:dyDescent="0.15">
      <c r="B9" s="35" t="s">
        <v>28</v>
      </c>
      <c r="C9" s="36">
        <f>SUM(C3:C8)</f>
        <v>56</v>
      </c>
      <c r="F9" s="20"/>
      <c r="J9" s="20"/>
      <c r="K9" s="13"/>
    </row>
    <row r="10" spans="1:20" s="12" customFormat="1" x14ac:dyDescent="0.15">
      <c r="F10" s="20"/>
      <c r="J10" s="20"/>
      <c r="K10" s="13"/>
    </row>
    <row r="11" spans="1:20" s="19" customFormat="1" ht="42" x14ac:dyDescent="0.15">
      <c r="A11" s="23"/>
      <c r="B11" s="22" t="s">
        <v>1</v>
      </c>
      <c r="C11" s="18" t="s">
        <v>2</v>
      </c>
      <c r="D11" s="18" t="s">
        <v>21</v>
      </c>
      <c r="E11" s="18" t="s">
        <v>13</v>
      </c>
      <c r="F11" s="18" t="s">
        <v>3</v>
      </c>
      <c r="G11" s="18" t="s">
        <v>4</v>
      </c>
      <c r="H11" s="18" t="s">
        <v>5</v>
      </c>
      <c r="I11" s="18" t="s">
        <v>6</v>
      </c>
      <c r="J11" s="18" t="s">
        <v>7</v>
      </c>
      <c r="K11" s="18" t="s">
        <v>8</v>
      </c>
      <c r="L11" s="18" t="s">
        <v>9</v>
      </c>
      <c r="M11" s="18" t="s">
        <v>10</v>
      </c>
      <c r="N11" s="18" t="s">
        <v>11</v>
      </c>
      <c r="O11" s="18" t="s">
        <v>12</v>
      </c>
      <c r="P11" s="18" t="s">
        <v>41</v>
      </c>
      <c r="Q11" s="18" t="s">
        <v>14</v>
      </c>
      <c r="R11" s="18" t="s">
        <v>15</v>
      </c>
      <c r="S11" s="18" t="s">
        <v>16</v>
      </c>
      <c r="T11" s="18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00B8-5337-43AE-AD80-1E543DDF8268}">
  <sheetPr>
    <outlinePr summaryBelow="0" summaryRight="0"/>
  </sheetPr>
  <dimension ref="A1:S10"/>
  <sheetViews>
    <sheetView showGridLines="0" zoomScale="80" zoomScaleNormal="80" workbookViewId="0">
      <pane xSplit="3" ySplit="10" topLeftCell="D100" activePane="bottomRight" state="frozen"/>
      <selection pane="topRight" activeCell="D1" sqref="D1"/>
      <selection pane="bottomLeft" activeCell="A11" sqref="A11"/>
      <selection pane="bottomRight" activeCell="B11" sqref="B11:S111"/>
    </sheetView>
  </sheetViews>
  <sheetFormatPr baseColWidth="10" defaultColWidth="12.6640625" defaultRowHeight="13" x14ac:dyDescent="0.15"/>
  <cols>
    <col min="1" max="1" width="4.1640625" style="12" customWidth="1"/>
    <col min="2" max="2" width="31.33203125" style="24" customWidth="1"/>
    <col min="3" max="3" width="16" style="10" customWidth="1"/>
    <col min="4" max="4" width="18.83203125" style="10" customWidth="1"/>
    <col min="5" max="5" width="31.83203125" style="10" customWidth="1"/>
    <col min="6" max="6" width="24.6640625" style="21" customWidth="1"/>
    <col min="7" max="7" width="28.6640625" style="10" customWidth="1"/>
    <col min="8" max="9" width="18.83203125" style="10" customWidth="1"/>
    <col min="10" max="10" width="18.83203125" style="21" customWidth="1"/>
    <col min="11" max="11" width="18.83203125" style="11" customWidth="1"/>
    <col min="12" max="13" width="18.83203125" style="10" customWidth="1"/>
    <col min="14" max="14" width="31" style="10" customWidth="1"/>
    <col min="15" max="16" width="18.83203125" style="10" customWidth="1"/>
    <col min="17" max="17" width="21.6640625" style="10" customWidth="1"/>
    <col min="18" max="18" width="18.83203125" style="10" customWidth="1"/>
    <col min="19" max="19" width="64.5" style="10" customWidth="1"/>
    <col min="20" max="25" width="18.83203125" style="10" customWidth="1"/>
    <col min="26" max="16384" width="12.6640625" style="10"/>
  </cols>
  <sheetData>
    <row r="1" spans="1:19" s="12" customFormat="1" ht="15" x14ac:dyDescent="0.2">
      <c r="B1" s="4" t="s">
        <v>36</v>
      </c>
      <c r="F1" s="20"/>
      <c r="J1" s="20"/>
      <c r="K1" s="13"/>
    </row>
    <row r="2" spans="1:19" s="12" customFormat="1" x14ac:dyDescent="0.15">
      <c r="F2" s="20"/>
      <c r="J2" s="20"/>
      <c r="K2" s="13"/>
    </row>
    <row r="3" spans="1:19" s="12" customFormat="1" x14ac:dyDescent="0.15">
      <c r="B3" s="24" t="s">
        <v>61</v>
      </c>
      <c r="C3" s="10">
        <v>46</v>
      </c>
      <c r="D3" s="47"/>
      <c r="F3" s="20"/>
      <c r="J3" s="20"/>
      <c r="K3" s="13"/>
    </row>
    <row r="4" spans="1:19" s="12" customFormat="1" x14ac:dyDescent="0.15">
      <c r="B4" s="24" t="s">
        <v>39</v>
      </c>
      <c r="C4" s="10">
        <v>32</v>
      </c>
      <c r="D4" s="47"/>
      <c r="F4" s="20"/>
      <c r="J4" s="20"/>
      <c r="K4" s="13"/>
    </row>
    <row r="5" spans="1:19" s="12" customFormat="1" x14ac:dyDescent="0.15">
      <c r="B5" s="24" t="s">
        <v>37</v>
      </c>
      <c r="C5" s="10">
        <v>18</v>
      </c>
      <c r="D5" s="47"/>
      <c r="F5" s="20"/>
      <c r="J5" s="20"/>
      <c r="K5" s="13"/>
    </row>
    <row r="6" spans="1:19" s="12" customFormat="1" x14ac:dyDescent="0.15">
      <c r="B6" s="24" t="s">
        <v>38</v>
      </c>
      <c r="C6" s="10">
        <v>6</v>
      </c>
      <c r="D6" s="47"/>
      <c r="F6" s="20"/>
      <c r="J6" s="20"/>
      <c r="K6" s="13"/>
    </row>
    <row r="7" spans="1:19" s="12" customFormat="1" x14ac:dyDescent="0.15">
      <c r="B7" s="25" t="s">
        <v>28</v>
      </c>
      <c r="C7" s="14">
        <f>SUBTOTAL(9,C3:C6)</f>
        <v>102</v>
      </c>
      <c r="F7" s="20"/>
      <c r="J7" s="20"/>
      <c r="K7" s="13"/>
    </row>
    <row r="8" spans="1:19" s="12" customFormat="1" x14ac:dyDescent="0.15">
      <c r="F8" s="20"/>
      <c r="J8" s="20"/>
      <c r="K8" s="13"/>
    </row>
    <row r="9" spans="1:19" s="12" customFormat="1" x14ac:dyDescent="0.15">
      <c r="F9" s="20"/>
      <c r="J9" s="20"/>
      <c r="K9" s="13"/>
    </row>
    <row r="10" spans="1:19" s="19" customFormat="1" ht="42" x14ac:dyDescent="0.15">
      <c r="A10" s="23"/>
      <c r="B10" s="22" t="s">
        <v>1</v>
      </c>
      <c r="C10" s="18" t="s">
        <v>2</v>
      </c>
      <c r="D10" s="18" t="s">
        <v>21</v>
      </c>
      <c r="E10" s="18" t="s">
        <v>14</v>
      </c>
      <c r="F10" s="18" t="s">
        <v>3</v>
      </c>
      <c r="G10" s="18" t="s">
        <v>4</v>
      </c>
      <c r="H10" s="18" t="s">
        <v>5</v>
      </c>
      <c r="I10" s="18" t="s">
        <v>6</v>
      </c>
      <c r="J10" s="18" t="s">
        <v>7</v>
      </c>
      <c r="K10" s="18" t="s">
        <v>8</v>
      </c>
      <c r="L10" s="18" t="s">
        <v>9</v>
      </c>
      <c r="M10" s="18" t="s">
        <v>10</v>
      </c>
      <c r="N10" s="18" t="s">
        <v>11</v>
      </c>
      <c r="O10" s="18" t="s">
        <v>12</v>
      </c>
      <c r="P10" s="18" t="s">
        <v>13</v>
      </c>
      <c r="Q10" s="18" t="s">
        <v>15</v>
      </c>
      <c r="R10" s="18" t="s">
        <v>16</v>
      </c>
      <c r="S10" s="18" t="s">
        <v>17</v>
      </c>
    </row>
  </sheetData>
  <autoFilter ref="B10:S10" xr:uid="{158019D0-7989-4052-BA3E-2C21AFA35E3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3674-C526-4E61-A572-58CFA7C63D65}">
  <sheetPr>
    <outlinePr summaryBelow="0" summaryRight="0"/>
  </sheetPr>
  <dimension ref="B1:S115"/>
  <sheetViews>
    <sheetView showGridLines="0" zoomScale="80" zoomScaleNormal="80" workbookViewId="0">
      <pane ySplit="13" topLeftCell="A165" activePane="bottomLeft" state="frozen"/>
      <selection pane="bottomLeft" activeCell="B14" sqref="B14:S115"/>
    </sheetView>
  </sheetViews>
  <sheetFormatPr baseColWidth="10" defaultColWidth="12.6640625" defaultRowHeight="13" x14ac:dyDescent="0.15"/>
  <cols>
    <col min="1" max="1" width="4.33203125" style="10" customWidth="1"/>
    <col min="2" max="2" width="17.1640625" style="10" customWidth="1"/>
    <col min="3" max="3" width="16" style="10" customWidth="1"/>
    <col min="4" max="5" width="18.83203125" style="10" customWidth="1"/>
    <col min="6" max="6" width="31" style="10" customWidth="1"/>
    <col min="7" max="7" width="18.83203125" style="10" customWidth="1"/>
    <col min="8" max="8" width="24.6640625" style="10" customWidth="1"/>
    <col min="9" max="9" width="28.6640625" style="10" customWidth="1"/>
    <col min="10" max="12" width="18.83203125" style="10" customWidth="1"/>
    <col min="13" max="13" width="18.83203125" style="11" customWidth="1"/>
    <col min="14" max="15" width="18.83203125" style="10" customWidth="1"/>
    <col min="16" max="16" width="25.6640625" style="10" customWidth="1"/>
    <col min="17" max="17" width="21.6640625" style="10" customWidth="1"/>
    <col min="18" max="18" width="18.83203125" style="10" customWidth="1"/>
    <col min="19" max="19" width="64.5" style="10" customWidth="1"/>
    <col min="20" max="25" width="18.83203125" style="10" customWidth="1"/>
    <col min="26" max="16384" width="12.6640625" style="10"/>
  </cols>
  <sheetData>
    <row r="1" spans="2:19" s="12" customFormat="1" x14ac:dyDescent="0.15">
      <c r="M1" s="13"/>
    </row>
    <row r="2" spans="2:19" s="12" customFormat="1" ht="15" x14ac:dyDescent="0.15">
      <c r="B2" s="34" t="s">
        <v>47</v>
      </c>
      <c r="M2" s="13"/>
    </row>
    <row r="3" spans="2:19" s="12" customFormat="1" x14ac:dyDescent="0.15">
      <c r="M3" s="13"/>
    </row>
    <row r="4" spans="2:19" s="12" customFormat="1" x14ac:dyDescent="0.15">
      <c r="B4" s="35" t="s">
        <v>21</v>
      </c>
      <c r="C4" s="40" t="s">
        <v>48</v>
      </c>
      <c r="D4" s="41"/>
      <c r="M4" s="13"/>
    </row>
    <row r="5" spans="2:19" s="12" customFormat="1" x14ac:dyDescent="0.15">
      <c r="B5" s="35"/>
      <c r="C5" s="35" t="s">
        <v>18</v>
      </c>
      <c r="D5" s="35" t="s">
        <v>19</v>
      </c>
      <c r="M5" s="13"/>
    </row>
    <row r="6" spans="2:19" s="12" customFormat="1" x14ac:dyDescent="0.15">
      <c r="B6" s="26" t="s">
        <v>23</v>
      </c>
      <c r="C6" s="26" t="e">
        <f>COUNTIFS(#REF!,"&lt;=6",#REF!,"Yes")</f>
        <v>#REF!</v>
      </c>
      <c r="D6" s="26" t="e">
        <f>COUNTIFS(#REF!,"&lt;=6",#REF!,"No")</f>
        <v>#REF!</v>
      </c>
      <c r="M6" s="13"/>
    </row>
    <row r="7" spans="2:19" s="12" customFormat="1" x14ac:dyDescent="0.15">
      <c r="B7" s="26" t="s">
        <v>24</v>
      </c>
      <c r="C7" s="9" t="e">
        <f>COUNTIFS(#REF!,"&gt;=7",#REF!,"&lt;=9",#REF!,"Yes")</f>
        <v>#REF!</v>
      </c>
      <c r="D7" s="9" t="e">
        <f>COUNTIFS(#REF!,"&gt;=7",#REF!,"&lt;=9",#REF!,"No")</f>
        <v>#REF!</v>
      </c>
      <c r="M7" s="13"/>
    </row>
    <row r="8" spans="2:19" s="12" customFormat="1" x14ac:dyDescent="0.15">
      <c r="B8" s="26" t="s">
        <v>25</v>
      </c>
      <c r="C8" s="9" t="e">
        <f>COUNTIFS(#REF!,"&gt;=10",#REF!,"&lt;=12",#REF!,"Yes")</f>
        <v>#REF!</v>
      </c>
      <c r="D8" s="9" t="e">
        <f>COUNTIFS(#REF!,"&gt;=10",#REF!,"&lt;=12",#REF!,"No")</f>
        <v>#REF!</v>
      </c>
      <c r="M8" s="13"/>
    </row>
    <row r="9" spans="2:19" s="12" customFormat="1" x14ac:dyDescent="0.15">
      <c r="B9" s="26" t="s">
        <v>26</v>
      </c>
      <c r="C9" s="9" t="e">
        <f>COUNTIFS(#REF!,"&gt;=13",#REF!,"&lt;=15",#REF!,"Yes")</f>
        <v>#REF!</v>
      </c>
      <c r="D9" s="9" t="e">
        <f>COUNTIFS(#REF!,"&gt;=13",#REF!,"&lt;=15",#REF!,"No")</f>
        <v>#REF!</v>
      </c>
      <c r="M9" s="13"/>
    </row>
    <row r="10" spans="2:19" s="12" customFormat="1" x14ac:dyDescent="0.15">
      <c r="B10" s="26" t="s">
        <v>27</v>
      </c>
      <c r="C10" s="9" t="e">
        <f>COUNTIFS(#REF!,"&gt;=16",#REF!,"&lt;=18",#REF!,"Yes")</f>
        <v>#REF!</v>
      </c>
      <c r="D10" s="9" t="e">
        <f>COUNTIFS(#REF!,"&gt;=16",#REF!,"&lt;=18",#REF!,"No")</f>
        <v>#REF!</v>
      </c>
      <c r="M10" s="13"/>
    </row>
    <row r="11" spans="2:19" s="42" customFormat="1" x14ac:dyDescent="0.15">
      <c r="B11" s="35" t="s">
        <v>28</v>
      </c>
      <c r="C11" s="35" t="e">
        <f>SUM(C6:C10)</f>
        <v>#REF!</v>
      </c>
      <c r="D11" s="35" t="e">
        <f t="shared" ref="D11" si="0">SUM(D6:D10)</f>
        <v>#REF!</v>
      </c>
      <c r="E11" s="12"/>
      <c r="M11" s="43"/>
    </row>
    <row r="12" spans="2:19" s="12" customFormat="1" x14ac:dyDescent="0.15">
      <c r="M12" s="13"/>
    </row>
    <row r="13" spans="2:19" s="3" customFormat="1" ht="42" x14ac:dyDescent="0.15">
      <c r="B13" s="7" t="s">
        <v>1</v>
      </c>
      <c r="C13" s="7" t="s">
        <v>2</v>
      </c>
      <c r="D13" s="7" t="s">
        <v>21</v>
      </c>
      <c r="E13" s="7" t="s">
        <v>9</v>
      </c>
      <c r="F13" s="7" t="s">
        <v>11</v>
      </c>
      <c r="G13" s="7" t="s">
        <v>12</v>
      </c>
      <c r="H13" s="7" t="s">
        <v>3</v>
      </c>
      <c r="I13" s="7" t="s">
        <v>4</v>
      </c>
      <c r="J13" s="7" t="s">
        <v>5</v>
      </c>
      <c r="K13" s="7" t="s">
        <v>6</v>
      </c>
      <c r="L13" s="7" t="s">
        <v>7</v>
      </c>
      <c r="M13" s="8" t="s">
        <v>8</v>
      </c>
      <c r="N13" s="7" t="s">
        <v>10</v>
      </c>
      <c r="O13" s="7" t="s">
        <v>13</v>
      </c>
      <c r="P13" s="7" t="s">
        <v>14</v>
      </c>
      <c r="Q13" s="7" t="s">
        <v>15</v>
      </c>
      <c r="R13" s="7" t="s">
        <v>16</v>
      </c>
      <c r="S13" s="7" t="s">
        <v>17</v>
      </c>
    </row>
    <row r="14" spans="2:19" x14ac:dyDescent="0.15">
      <c r="M14" s="10"/>
    </row>
    <row r="15" spans="2:19" x14ac:dyDescent="0.15">
      <c r="M15" s="10"/>
    </row>
    <row r="16" spans="2:19" x14ac:dyDescent="0.15">
      <c r="M16" s="10"/>
    </row>
    <row r="17" spans="13:13" x14ac:dyDescent="0.15">
      <c r="M17" s="10"/>
    </row>
    <row r="18" spans="13:13" x14ac:dyDescent="0.15">
      <c r="M18" s="10"/>
    </row>
    <row r="19" spans="13:13" x14ac:dyDescent="0.15">
      <c r="M19" s="10"/>
    </row>
    <row r="20" spans="13:13" x14ac:dyDescent="0.15">
      <c r="M20" s="10"/>
    </row>
    <row r="21" spans="13:13" x14ac:dyDescent="0.15">
      <c r="M21" s="10"/>
    </row>
    <row r="22" spans="13:13" x14ac:dyDescent="0.15">
      <c r="M22" s="10"/>
    </row>
    <row r="23" spans="13:13" x14ac:dyDescent="0.15">
      <c r="M23" s="10"/>
    </row>
    <row r="24" spans="13:13" x14ac:dyDescent="0.15">
      <c r="M24" s="10"/>
    </row>
    <row r="25" spans="13:13" x14ac:dyDescent="0.15">
      <c r="M25" s="10"/>
    </row>
    <row r="26" spans="13:13" x14ac:dyDescent="0.15">
      <c r="M26" s="10"/>
    </row>
    <row r="27" spans="13:13" x14ac:dyDescent="0.15">
      <c r="M27" s="10"/>
    </row>
    <row r="28" spans="13:13" x14ac:dyDescent="0.15">
      <c r="M28" s="10"/>
    </row>
    <row r="29" spans="13:13" x14ac:dyDescent="0.15">
      <c r="M29" s="10"/>
    </row>
    <row r="30" spans="13:13" x14ac:dyDescent="0.15">
      <c r="M30" s="10"/>
    </row>
    <row r="31" spans="13:13" x14ac:dyDescent="0.15">
      <c r="M31" s="10"/>
    </row>
    <row r="32" spans="13:13" x14ac:dyDescent="0.15">
      <c r="M32" s="10"/>
    </row>
    <row r="33" spans="13:13" x14ac:dyDescent="0.15">
      <c r="M33" s="10"/>
    </row>
    <row r="34" spans="13:13" x14ac:dyDescent="0.15">
      <c r="M34" s="10"/>
    </row>
    <row r="35" spans="13:13" x14ac:dyDescent="0.15">
      <c r="M35" s="10"/>
    </row>
    <row r="36" spans="13:13" x14ac:dyDescent="0.15">
      <c r="M36" s="10"/>
    </row>
    <row r="37" spans="13:13" x14ac:dyDescent="0.15">
      <c r="M37" s="10"/>
    </row>
    <row r="38" spans="13:13" x14ac:dyDescent="0.15">
      <c r="M38" s="10"/>
    </row>
    <row r="39" spans="13:13" x14ac:dyDescent="0.15">
      <c r="M39" s="10"/>
    </row>
    <row r="40" spans="13:13" x14ac:dyDescent="0.15">
      <c r="M40" s="10"/>
    </row>
    <row r="41" spans="13:13" x14ac:dyDescent="0.15">
      <c r="M41" s="10"/>
    </row>
    <row r="42" spans="13:13" x14ac:dyDescent="0.15">
      <c r="M42" s="10"/>
    </row>
    <row r="43" spans="13:13" x14ac:dyDescent="0.15">
      <c r="M43" s="10"/>
    </row>
    <row r="44" spans="13:13" x14ac:dyDescent="0.15">
      <c r="M44" s="10"/>
    </row>
    <row r="45" spans="13:13" x14ac:dyDescent="0.15">
      <c r="M45" s="10"/>
    </row>
    <row r="46" spans="13:13" x14ac:dyDescent="0.15">
      <c r="M46" s="10"/>
    </row>
    <row r="47" spans="13:13" x14ac:dyDescent="0.15">
      <c r="M47" s="10"/>
    </row>
    <row r="48" spans="13:13" x14ac:dyDescent="0.15">
      <c r="M48" s="10"/>
    </row>
    <row r="49" spans="13:13" x14ac:dyDescent="0.15">
      <c r="M49" s="10"/>
    </row>
    <row r="50" spans="13:13" x14ac:dyDescent="0.15">
      <c r="M50" s="10"/>
    </row>
    <row r="51" spans="13:13" x14ac:dyDescent="0.15">
      <c r="M51" s="10"/>
    </row>
    <row r="52" spans="13:13" x14ac:dyDescent="0.15">
      <c r="M52" s="10"/>
    </row>
    <row r="53" spans="13:13" x14ac:dyDescent="0.15">
      <c r="M53" s="10"/>
    </row>
    <row r="54" spans="13:13" x14ac:dyDescent="0.15">
      <c r="M54" s="10"/>
    </row>
    <row r="55" spans="13:13" x14ac:dyDescent="0.15">
      <c r="M55" s="10"/>
    </row>
    <row r="56" spans="13:13" x14ac:dyDescent="0.15">
      <c r="M56" s="10"/>
    </row>
    <row r="57" spans="13:13" x14ac:dyDescent="0.15">
      <c r="M57" s="10"/>
    </row>
    <row r="58" spans="13:13" x14ac:dyDescent="0.15">
      <c r="M58" s="10"/>
    </row>
    <row r="59" spans="13:13" x14ac:dyDescent="0.15">
      <c r="M59" s="10"/>
    </row>
    <row r="60" spans="13:13" x14ac:dyDescent="0.15">
      <c r="M60" s="10"/>
    </row>
    <row r="61" spans="13:13" x14ac:dyDescent="0.15">
      <c r="M61" s="10"/>
    </row>
    <row r="62" spans="13:13" x14ac:dyDescent="0.15">
      <c r="M62" s="10"/>
    </row>
    <row r="63" spans="13:13" x14ac:dyDescent="0.15">
      <c r="M63" s="10"/>
    </row>
    <row r="64" spans="13:13" x14ac:dyDescent="0.15">
      <c r="M64" s="10"/>
    </row>
    <row r="65" spans="13:13" x14ac:dyDescent="0.15">
      <c r="M65" s="10"/>
    </row>
    <row r="66" spans="13:13" x14ac:dyDescent="0.15">
      <c r="M66" s="10"/>
    </row>
    <row r="67" spans="13:13" x14ac:dyDescent="0.15">
      <c r="M67" s="10"/>
    </row>
    <row r="68" spans="13:13" x14ac:dyDescent="0.15">
      <c r="M68" s="10"/>
    </row>
    <row r="69" spans="13:13" x14ac:dyDescent="0.15">
      <c r="M69" s="10"/>
    </row>
    <row r="70" spans="13:13" x14ac:dyDescent="0.15">
      <c r="M70" s="10"/>
    </row>
    <row r="71" spans="13:13" x14ac:dyDescent="0.15">
      <c r="M71" s="10"/>
    </row>
    <row r="72" spans="13:13" x14ac:dyDescent="0.15">
      <c r="M72" s="10"/>
    </row>
    <row r="73" spans="13:13" x14ac:dyDescent="0.15">
      <c r="M73" s="10"/>
    </row>
    <row r="74" spans="13:13" x14ac:dyDescent="0.15">
      <c r="M74" s="10"/>
    </row>
    <row r="75" spans="13:13" x14ac:dyDescent="0.15">
      <c r="M75" s="10"/>
    </row>
    <row r="76" spans="13:13" x14ac:dyDescent="0.15">
      <c r="M76" s="10"/>
    </row>
    <row r="77" spans="13:13" x14ac:dyDescent="0.15">
      <c r="M77" s="10"/>
    </row>
    <row r="78" spans="13:13" x14ac:dyDescent="0.15">
      <c r="M78" s="10"/>
    </row>
    <row r="79" spans="13:13" x14ac:dyDescent="0.15">
      <c r="M79" s="10"/>
    </row>
    <row r="80" spans="13:13" x14ac:dyDescent="0.15">
      <c r="M80" s="10"/>
    </row>
    <row r="81" spans="13:13" x14ac:dyDescent="0.15">
      <c r="M81" s="10"/>
    </row>
    <row r="82" spans="13:13" x14ac:dyDescent="0.15">
      <c r="M82" s="10"/>
    </row>
    <row r="83" spans="13:13" x14ac:dyDescent="0.15">
      <c r="M83" s="10"/>
    </row>
    <row r="84" spans="13:13" x14ac:dyDescent="0.15">
      <c r="M84" s="10"/>
    </row>
    <row r="85" spans="13:13" x14ac:dyDescent="0.15">
      <c r="M85" s="10"/>
    </row>
    <row r="86" spans="13:13" x14ac:dyDescent="0.15">
      <c r="M86" s="10"/>
    </row>
    <row r="87" spans="13:13" x14ac:dyDescent="0.15">
      <c r="M87" s="10"/>
    </row>
    <row r="88" spans="13:13" x14ac:dyDescent="0.15">
      <c r="M88" s="10"/>
    </row>
    <row r="89" spans="13:13" x14ac:dyDescent="0.15">
      <c r="M89" s="10"/>
    </row>
    <row r="90" spans="13:13" x14ac:dyDescent="0.15">
      <c r="M90" s="10"/>
    </row>
    <row r="91" spans="13:13" x14ac:dyDescent="0.15">
      <c r="M91" s="10"/>
    </row>
    <row r="92" spans="13:13" x14ac:dyDescent="0.15">
      <c r="M92" s="10"/>
    </row>
    <row r="93" spans="13:13" x14ac:dyDescent="0.15">
      <c r="M93" s="10"/>
    </row>
    <row r="94" spans="13:13" x14ac:dyDescent="0.15">
      <c r="M94" s="10"/>
    </row>
    <row r="95" spans="13:13" x14ac:dyDescent="0.15">
      <c r="M95" s="10"/>
    </row>
    <row r="96" spans="13:13" x14ac:dyDescent="0.15">
      <c r="M96" s="10"/>
    </row>
    <row r="97" spans="13:13" x14ac:dyDescent="0.15">
      <c r="M97" s="10"/>
    </row>
    <row r="98" spans="13:13" x14ac:dyDescent="0.15">
      <c r="M98" s="10"/>
    </row>
    <row r="99" spans="13:13" x14ac:dyDescent="0.15">
      <c r="M99" s="10"/>
    </row>
    <row r="100" spans="13:13" x14ac:dyDescent="0.15">
      <c r="M100" s="10"/>
    </row>
    <row r="101" spans="13:13" x14ac:dyDescent="0.15">
      <c r="M101" s="10"/>
    </row>
    <row r="102" spans="13:13" x14ac:dyDescent="0.15">
      <c r="M102" s="10"/>
    </row>
    <row r="103" spans="13:13" x14ac:dyDescent="0.15">
      <c r="M103" s="10"/>
    </row>
    <row r="104" spans="13:13" x14ac:dyDescent="0.15">
      <c r="M104" s="10"/>
    </row>
    <row r="105" spans="13:13" x14ac:dyDescent="0.15">
      <c r="M105" s="10"/>
    </row>
    <row r="106" spans="13:13" x14ac:dyDescent="0.15">
      <c r="M106" s="10"/>
    </row>
    <row r="107" spans="13:13" x14ac:dyDescent="0.15">
      <c r="M107" s="10"/>
    </row>
    <row r="108" spans="13:13" x14ac:dyDescent="0.15">
      <c r="M108" s="10"/>
    </row>
    <row r="109" spans="13:13" x14ac:dyDescent="0.15">
      <c r="M109" s="10"/>
    </row>
    <row r="110" spans="13:13" x14ac:dyDescent="0.15">
      <c r="M110" s="10"/>
    </row>
    <row r="111" spans="13:13" x14ac:dyDescent="0.15">
      <c r="M111" s="10"/>
    </row>
    <row r="112" spans="13:13" x14ac:dyDescent="0.15">
      <c r="M112" s="10"/>
    </row>
    <row r="113" spans="13:13" x14ac:dyDescent="0.15">
      <c r="M113" s="10"/>
    </row>
    <row r="114" spans="13:13" x14ac:dyDescent="0.15">
      <c r="M114" s="10"/>
    </row>
    <row r="115" spans="13:13" x14ac:dyDescent="0.15">
      <c r="M115" s="10"/>
    </row>
  </sheetData>
  <autoFilter ref="B13:S115" xr:uid="{291BBBE0-E677-4EC2-8E5B-33A16E4975DC}">
    <sortState xmlns:xlrd2="http://schemas.microsoft.com/office/spreadsheetml/2017/richdata2" ref="B14:S115">
      <sortCondition ref="D14:D115"/>
      <sortCondition ref="B14:B115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3F69-B70A-49FE-ACA3-DD5B22BFB8B6}">
  <sheetPr>
    <outlinePr summaryBelow="0" summaryRight="0"/>
  </sheetPr>
  <dimension ref="B1:S112"/>
  <sheetViews>
    <sheetView showGridLines="0" zoomScale="80" zoomScaleNormal="80" workbookViewId="0">
      <pane ySplit="10" topLeftCell="A11" activePane="bottomLeft" state="frozen"/>
      <selection pane="bottomLeft" activeCell="B11" sqref="B11:S112"/>
    </sheetView>
  </sheetViews>
  <sheetFormatPr baseColWidth="10" defaultColWidth="12.6640625" defaultRowHeight="13" x14ac:dyDescent="0.15"/>
  <cols>
    <col min="1" max="1" width="4.33203125" style="10" customWidth="1"/>
    <col min="2" max="2" width="17.1640625" style="10" customWidth="1"/>
    <col min="3" max="3" width="16" style="10" customWidth="1"/>
    <col min="4" max="5" width="18.83203125" style="10" customWidth="1"/>
    <col min="6" max="6" width="31" style="10" customWidth="1"/>
    <col min="7" max="7" width="18.83203125" style="10" customWidth="1"/>
    <col min="8" max="8" width="24.6640625" style="10" customWidth="1"/>
    <col min="9" max="9" width="28.6640625" style="10" customWidth="1"/>
    <col min="10" max="12" width="18.83203125" style="10" customWidth="1"/>
    <col min="13" max="13" width="18.83203125" style="11" customWidth="1"/>
    <col min="14" max="15" width="18.83203125" style="10" customWidth="1"/>
    <col min="16" max="16" width="25.6640625" style="10" customWidth="1"/>
    <col min="17" max="17" width="21.6640625" style="10" customWidth="1"/>
    <col min="18" max="18" width="18.83203125" style="10" customWidth="1"/>
    <col min="19" max="19" width="64.5" style="10" customWidth="1"/>
    <col min="20" max="25" width="18.83203125" style="10" customWidth="1"/>
    <col min="26" max="16384" width="12.6640625" style="10"/>
  </cols>
  <sheetData>
    <row r="1" spans="2:19" s="12" customFormat="1" x14ac:dyDescent="0.15">
      <c r="M1" s="13"/>
    </row>
    <row r="2" spans="2:19" s="12" customFormat="1" ht="15" x14ac:dyDescent="0.15">
      <c r="B2" s="34" t="s">
        <v>51</v>
      </c>
      <c r="M2" s="13"/>
    </row>
    <row r="3" spans="2:19" s="12" customFormat="1" x14ac:dyDescent="0.15">
      <c r="M3" s="13"/>
    </row>
    <row r="4" spans="2:19" s="12" customFormat="1" x14ac:dyDescent="0.15">
      <c r="B4" s="35"/>
      <c r="C4" s="35" t="s">
        <v>48</v>
      </c>
      <c r="D4" s="35"/>
      <c r="E4" s="44" t="s">
        <v>59</v>
      </c>
      <c r="F4" s="45" t="s">
        <v>60</v>
      </c>
      <c r="M4" s="13"/>
    </row>
    <row r="5" spans="2:19" s="12" customFormat="1" x14ac:dyDescent="0.15">
      <c r="B5" s="35"/>
      <c r="C5" s="35" t="s">
        <v>18</v>
      </c>
      <c r="D5" s="35" t="s">
        <v>19</v>
      </c>
      <c r="E5" s="46"/>
      <c r="M5" s="13"/>
    </row>
    <row r="6" spans="2:19" s="12" customFormat="1" x14ac:dyDescent="0.15">
      <c r="B6" s="26" t="s">
        <v>49</v>
      </c>
      <c r="C6" s="26" t="e">
        <f>COUNTIFS(#REF!,"Yes",#REF!,"Yes")</f>
        <v>#REF!</v>
      </c>
      <c r="D6" s="26" t="e">
        <f>COUNTIFS(#REF!,"Yes",#REF!,"No")</f>
        <v>#REF!</v>
      </c>
      <c r="E6" s="48"/>
      <c r="M6" s="13"/>
    </row>
    <row r="7" spans="2:19" s="12" customFormat="1" x14ac:dyDescent="0.15">
      <c r="B7" s="26" t="s">
        <v>50</v>
      </c>
      <c r="C7" s="26" t="e">
        <f>COUNTIFS(#REF!,"No",#REF!,"Yes")</f>
        <v>#REF!</v>
      </c>
      <c r="D7" s="26" t="e">
        <f>COUNTIFS(#REF!,"No",#REF!,"No")</f>
        <v>#REF!</v>
      </c>
      <c r="E7" s="48"/>
      <c r="M7" s="13"/>
    </row>
    <row r="8" spans="2:19" s="12" customFormat="1" x14ac:dyDescent="0.15">
      <c r="B8" s="35" t="s">
        <v>28</v>
      </c>
      <c r="C8" s="35" t="e">
        <f>SUM(C6:C7)</f>
        <v>#REF!</v>
      </c>
      <c r="D8" s="35" t="e">
        <f>SUM(D6:D7)</f>
        <v>#REF!</v>
      </c>
      <c r="E8" s="46"/>
      <c r="M8" s="13"/>
    </row>
    <row r="9" spans="2:19" s="12" customFormat="1" x14ac:dyDescent="0.15">
      <c r="C9" s="47" t="e">
        <f>C8/102</f>
        <v>#REF!</v>
      </c>
      <c r="M9" s="13"/>
    </row>
    <row r="10" spans="2:19" s="3" customFormat="1" ht="42" x14ac:dyDescent="0.15">
      <c r="B10" s="7" t="s">
        <v>1</v>
      </c>
      <c r="C10" s="7" t="s">
        <v>2</v>
      </c>
      <c r="D10" s="7" t="s">
        <v>21</v>
      </c>
      <c r="E10" s="7" t="s">
        <v>9</v>
      </c>
      <c r="F10" s="7" t="s">
        <v>11</v>
      </c>
      <c r="G10" s="7" t="s">
        <v>12</v>
      </c>
      <c r="H10" s="7" t="s">
        <v>3</v>
      </c>
      <c r="I10" s="7" t="s">
        <v>4</v>
      </c>
      <c r="J10" s="7" t="s">
        <v>5</v>
      </c>
      <c r="K10" s="7" t="s">
        <v>6</v>
      </c>
      <c r="L10" s="7" t="s">
        <v>7</v>
      </c>
      <c r="M10" s="8" t="s">
        <v>8</v>
      </c>
      <c r="N10" s="7" t="s">
        <v>10</v>
      </c>
      <c r="O10" s="7" t="s">
        <v>13</v>
      </c>
      <c r="P10" s="7" t="s">
        <v>14</v>
      </c>
      <c r="Q10" s="7" t="s">
        <v>15</v>
      </c>
      <c r="R10" s="7" t="s">
        <v>16</v>
      </c>
      <c r="S10" s="7" t="s">
        <v>17</v>
      </c>
    </row>
    <row r="11" spans="2:19" x14ac:dyDescent="0.15">
      <c r="M11" s="10"/>
    </row>
    <row r="12" spans="2:19" x14ac:dyDescent="0.15">
      <c r="M12" s="10"/>
    </row>
    <row r="13" spans="2:19" x14ac:dyDescent="0.15">
      <c r="M13" s="10"/>
    </row>
    <row r="14" spans="2:19" x14ac:dyDescent="0.15">
      <c r="M14" s="10"/>
    </row>
    <row r="15" spans="2:19" x14ac:dyDescent="0.15">
      <c r="M15" s="10"/>
    </row>
    <row r="16" spans="2:19" x14ac:dyDescent="0.15">
      <c r="M16" s="10"/>
    </row>
    <row r="17" spans="13:13" x14ac:dyDescent="0.15">
      <c r="M17" s="10"/>
    </row>
    <row r="18" spans="13:13" x14ac:dyDescent="0.15">
      <c r="M18" s="10"/>
    </row>
    <row r="19" spans="13:13" x14ac:dyDescent="0.15">
      <c r="M19" s="10"/>
    </row>
    <row r="20" spans="13:13" x14ac:dyDescent="0.15">
      <c r="M20" s="10"/>
    </row>
    <row r="21" spans="13:13" x14ac:dyDescent="0.15">
      <c r="M21" s="10"/>
    </row>
    <row r="22" spans="13:13" x14ac:dyDescent="0.15">
      <c r="M22" s="10"/>
    </row>
    <row r="23" spans="13:13" x14ac:dyDescent="0.15">
      <c r="M23" s="10"/>
    </row>
    <row r="24" spans="13:13" x14ac:dyDescent="0.15">
      <c r="M24" s="10"/>
    </row>
    <row r="25" spans="13:13" x14ac:dyDescent="0.15">
      <c r="M25" s="10"/>
    </row>
    <row r="26" spans="13:13" x14ac:dyDescent="0.15">
      <c r="M26" s="10"/>
    </row>
    <row r="27" spans="13:13" x14ac:dyDescent="0.15">
      <c r="M27" s="10"/>
    </row>
    <row r="28" spans="13:13" x14ac:dyDescent="0.15">
      <c r="M28" s="10"/>
    </row>
    <row r="29" spans="13:13" x14ac:dyDescent="0.15">
      <c r="M29" s="10"/>
    </row>
    <row r="30" spans="13:13" x14ac:dyDescent="0.15">
      <c r="M30" s="10"/>
    </row>
    <row r="31" spans="13:13" x14ac:dyDescent="0.15">
      <c r="M31" s="10"/>
    </row>
    <row r="32" spans="13:13" x14ac:dyDescent="0.15">
      <c r="M32" s="10"/>
    </row>
    <row r="33" spans="13:13" x14ac:dyDescent="0.15">
      <c r="M33" s="10"/>
    </row>
    <row r="34" spans="13:13" x14ac:dyDescent="0.15">
      <c r="M34" s="10"/>
    </row>
    <row r="35" spans="13:13" x14ac:dyDescent="0.15">
      <c r="M35" s="10"/>
    </row>
    <row r="36" spans="13:13" x14ac:dyDescent="0.15">
      <c r="M36" s="10"/>
    </row>
    <row r="37" spans="13:13" x14ac:dyDescent="0.15">
      <c r="M37" s="10"/>
    </row>
    <row r="38" spans="13:13" x14ac:dyDescent="0.15">
      <c r="M38" s="10"/>
    </row>
    <row r="39" spans="13:13" x14ac:dyDescent="0.15">
      <c r="M39" s="10"/>
    </row>
    <row r="40" spans="13:13" x14ac:dyDescent="0.15">
      <c r="M40" s="10"/>
    </row>
    <row r="41" spans="13:13" x14ac:dyDescent="0.15">
      <c r="M41" s="10"/>
    </row>
    <row r="42" spans="13:13" x14ac:dyDescent="0.15">
      <c r="M42" s="10"/>
    </row>
    <row r="43" spans="13:13" x14ac:dyDescent="0.15">
      <c r="M43" s="10"/>
    </row>
    <row r="44" spans="13:13" x14ac:dyDescent="0.15">
      <c r="M44" s="10"/>
    </row>
    <row r="45" spans="13:13" x14ac:dyDescent="0.15">
      <c r="M45" s="10"/>
    </row>
    <row r="46" spans="13:13" x14ac:dyDescent="0.15">
      <c r="M46" s="10"/>
    </row>
    <row r="47" spans="13:13" x14ac:dyDescent="0.15">
      <c r="M47" s="10"/>
    </row>
    <row r="48" spans="13:13" x14ac:dyDescent="0.15">
      <c r="M48" s="10"/>
    </row>
    <row r="49" spans="13:13" x14ac:dyDescent="0.15">
      <c r="M49" s="10"/>
    </row>
    <row r="50" spans="13:13" x14ac:dyDescent="0.15">
      <c r="M50" s="10"/>
    </row>
    <row r="51" spans="13:13" x14ac:dyDescent="0.15">
      <c r="M51" s="10"/>
    </row>
    <row r="52" spans="13:13" x14ac:dyDescent="0.15">
      <c r="M52" s="10"/>
    </row>
    <row r="53" spans="13:13" x14ac:dyDescent="0.15">
      <c r="M53" s="10"/>
    </row>
    <row r="54" spans="13:13" x14ac:dyDescent="0.15">
      <c r="M54" s="10"/>
    </row>
    <row r="55" spans="13:13" x14ac:dyDescent="0.15">
      <c r="M55" s="10"/>
    </row>
    <row r="56" spans="13:13" x14ac:dyDescent="0.15">
      <c r="M56" s="10"/>
    </row>
    <row r="57" spans="13:13" x14ac:dyDescent="0.15">
      <c r="M57" s="10"/>
    </row>
    <row r="58" spans="13:13" x14ac:dyDescent="0.15">
      <c r="M58" s="10"/>
    </row>
    <row r="59" spans="13:13" x14ac:dyDescent="0.15">
      <c r="M59" s="10"/>
    </row>
    <row r="60" spans="13:13" x14ac:dyDescent="0.15">
      <c r="M60" s="10"/>
    </row>
    <row r="61" spans="13:13" x14ac:dyDescent="0.15">
      <c r="M61" s="10"/>
    </row>
    <row r="62" spans="13:13" x14ac:dyDescent="0.15">
      <c r="M62" s="10"/>
    </row>
    <row r="63" spans="13:13" x14ac:dyDescent="0.15">
      <c r="M63" s="10"/>
    </row>
    <row r="64" spans="13:13" x14ac:dyDescent="0.15">
      <c r="M64" s="10"/>
    </row>
    <row r="65" spans="13:13" x14ac:dyDescent="0.15">
      <c r="M65" s="10"/>
    </row>
    <row r="66" spans="13:13" x14ac:dyDescent="0.15">
      <c r="M66" s="10"/>
    </row>
    <row r="67" spans="13:13" x14ac:dyDescent="0.15">
      <c r="M67" s="10"/>
    </row>
    <row r="68" spans="13:13" x14ac:dyDescent="0.15">
      <c r="M68" s="10"/>
    </row>
    <row r="69" spans="13:13" x14ac:dyDescent="0.15">
      <c r="M69" s="10"/>
    </row>
    <row r="70" spans="13:13" x14ac:dyDescent="0.15">
      <c r="M70" s="10"/>
    </row>
    <row r="71" spans="13:13" x14ac:dyDescent="0.15">
      <c r="M71" s="10"/>
    </row>
    <row r="72" spans="13:13" x14ac:dyDescent="0.15">
      <c r="M72" s="10"/>
    </row>
    <row r="73" spans="13:13" x14ac:dyDescent="0.15">
      <c r="M73" s="10"/>
    </row>
    <row r="74" spans="13:13" x14ac:dyDescent="0.15">
      <c r="M74" s="10"/>
    </row>
    <row r="75" spans="13:13" x14ac:dyDescent="0.15">
      <c r="M75" s="10"/>
    </row>
    <row r="76" spans="13:13" x14ac:dyDescent="0.15">
      <c r="M76" s="10"/>
    </row>
    <row r="77" spans="13:13" x14ac:dyDescent="0.15">
      <c r="M77" s="10"/>
    </row>
    <row r="78" spans="13:13" x14ac:dyDescent="0.15">
      <c r="M78" s="10"/>
    </row>
    <row r="79" spans="13:13" x14ac:dyDescent="0.15">
      <c r="M79" s="10"/>
    </row>
    <row r="80" spans="13:13" x14ac:dyDescent="0.15">
      <c r="M80" s="10"/>
    </row>
    <row r="81" spans="13:13" x14ac:dyDescent="0.15">
      <c r="M81" s="10"/>
    </row>
    <row r="82" spans="13:13" x14ac:dyDescent="0.15">
      <c r="M82" s="10"/>
    </row>
    <row r="83" spans="13:13" x14ac:dyDescent="0.15">
      <c r="M83" s="10"/>
    </row>
    <row r="84" spans="13:13" x14ac:dyDescent="0.15">
      <c r="M84" s="10"/>
    </row>
    <row r="85" spans="13:13" x14ac:dyDescent="0.15">
      <c r="M85" s="10"/>
    </row>
    <row r="86" spans="13:13" x14ac:dyDescent="0.15">
      <c r="M86" s="10"/>
    </row>
    <row r="87" spans="13:13" x14ac:dyDescent="0.15">
      <c r="M87" s="10"/>
    </row>
    <row r="88" spans="13:13" x14ac:dyDescent="0.15">
      <c r="M88" s="10"/>
    </row>
    <row r="89" spans="13:13" x14ac:dyDescent="0.15">
      <c r="M89" s="10"/>
    </row>
    <row r="90" spans="13:13" x14ac:dyDescent="0.15">
      <c r="M90" s="10"/>
    </row>
    <row r="91" spans="13:13" x14ac:dyDescent="0.15">
      <c r="M91" s="10"/>
    </row>
    <row r="92" spans="13:13" x14ac:dyDescent="0.15">
      <c r="M92" s="10"/>
    </row>
    <row r="93" spans="13:13" x14ac:dyDescent="0.15">
      <c r="M93" s="10"/>
    </row>
    <row r="94" spans="13:13" x14ac:dyDescent="0.15">
      <c r="M94" s="10"/>
    </row>
    <row r="95" spans="13:13" x14ac:dyDescent="0.15">
      <c r="M95" s="10"/>
    </row>
    <row r="96" spans="13:13" x14ac:dyDescent="0.15">
      <c r="M96" s="10"/>
    </row>
    <row r="97" spans="13:13" x14ac:dyDescent="0.15">
      <c r="M97" s="10"/>
    </row>
    <row r="98" spans="13:13" x14ac:dyDescent="0.15">
      <c r="M98" s="10"/>
    </row>
    <row r="99" spans="13:13" x14ac:dyDescent="0.15">
      <c r="M99" s="10"/>
    </row>
    <row r="100" spans="13:13" x14ac:dyDescent="0.15">
      <c r="M100" s="10"/>
    </row>
    <row r="101" spans="13:13" x14ac:dyDescent="0.15">
      <c r="M101" s="10"/>
    </row>
    <row r="102" spans="13:13" x14ac:dyDescent="0.15">
      <c r="M102" s="10"/>
    </row>
    <row r="103" spans="13:13" x14ac:dyDescent="0.15">
      <c r="M103" s="10"/>
    </row>
    <row r="104" spans="13:13" x14ac:dyDescent="0.15">
      <c r="M104" s="10"/>
    </row>
    <row r="105" spans="13:13" x14ac:dyDescent="0.15">
      <c r="M105" s="10"/>
    </row>
    <row r="106" spans="13:13" x14ac:dyDescent="0.15">
      <c r="M106" s="10"/>
    </row>
    <row r="107" spans="13:13" x14ac:dyDescent="0.15">
      <c r="M107" s="10"/>
    </row>
    <row r="108" spans="13:13" x14ac:dyDescent="0.15">
      <c r="M108" s="10"/>
    </row>
    <row r="109" spans="13:13" x14ac:dyDescent="0.15">
      <c r="M109" s="10"/>
    </row>
    <row r="110" spans="13:13" x14ac:dyDescent="0.15">
      <c r="M110" s="10"/>
    </row>
    <row r="111" spans="13:13" x14ac:dyDescent="0.15">
      <c r="M111" s="10"/>
    </row>
    <row r="112" spans="13:13" x14ac:dyDescent="0.15">
      <c r="M112" s="10"/>
    </row>
  </sheetData>
  <autoFilter ref="B10:S112" xr:uid="{291BBBE0-E677-4EC2-8E5B-33A16E4975DC}">
    <sortState xmlns:xlrd2="http://schemas.microsoft.com/office/spreadsheetml/2017/richdata2" ref="B11:S112">
      <sortCondition descending="1" ref="F11:F112"/>
      <sortCondition descending="1" ref="E11:E112"/>
      <sortCondition ref="D11:D112"/>
      <sortCondition ref="B11:B112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"/>
  <sheetViews>
    <sheetView showGridLines="0" topLeftCell="I1" zoomScale="150" zoomScaleNormal="80" workbookViewId="0">
      <pane ySplit="1" topLeftCell="A2" activePane="bottomLeft" state="frozen"/>
      <selection pane="bottomLeft" activeCell="L2" sqref="L2:W2"/>
    </sheetView>
  </sheetViews>
  <sheetFormatPr baseColWidth="10" defaultColWidth="12.6640625" defaultRowHeight="13" x14ac:dyDescent="0.15"/>
  <cols>
    <col min="1" max="1" width="18.83203125" style="10" customWidth="1"/>
    <col min="2" max="2" width="17.1640625" style="10" customWidth="1"/>
    <col min="3" max="4" width="16" style="10" customWidth="1"/>
    <col min="5" max="5" width="18.83203125" style="10" customWidth="1"/>
    <col min="6" max="6" width="24.6640625" style="10" customWidth="1"/>
    <col min="7" max="7" width="28.6640625" style="10" customWidth="1"/>
    <col min="8" max="10" width="18.83203125" style="10" customWidth="1"/>
    <col min="11" max="11" width="18.83203125" style="11" customWidth="1"/>
    <col min="12" max="13" width="18.83203125" style="10" customWidth="1"/>
    <col min="14" max="14" width="31" style="10" customWidth="1"/>
    <col min="15" max="16" width="18.83203125" style="10" customWidth="1"/>
    <col min="17" max="17" width="25.6640625" style="10" customWidth="1"/>
    <col min="18" max="18" width="21.6640625" style="10" customWidth="1"/>
    <col min="19" max="19" width="18.83203125" style="10" customWidth="1"/>
    <col min="20" max="20" width="64.5" style="10" customWidth="1"/>
    <col min="21" max="21" width="22" style="10" customWidth="1"/>
    <col min="22" max="26" width="18.83203125" style="10" customWidth="1"/>
    <col min="27" max="16384" width="12.6640625" style="10"/>
  </cols>
  <sheetData>
    <row r="1" spans="1:23" s="2" customFormat="1" ht="42" x14ac:dyDescent="0.15">
      <c r="A1" s="5" t="s">
        <v>0</v>
      </c>
      <c r="B1" s="5" t="s">
        <v>1</v>
      </c>
      <c r="C1" s="5" t="s">
        <v>2</v>
      </c>
      <c r="D1" s="5" t="s">
        <v>52</v>
      </c>
      <c r="E1" s="5" t="s">
        <v>21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6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2" t="s">
        <v>62</v>
      </c>
      <c r="V1" s="50" t="s">
        <v>63</v>
      </c>
      <c r="W1" s="49" t="s">
        <v>64</v>
      </c>
    </row>
  </sheetData>
  <autoFilter ref="A1:T2" xr:uid="{C468C516-F7A5-4FA8-8698-09FDD18FB4E7}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Sort by Gender</vt:lpstr>
      <vt:lpstr>Sort by Age</vt:lpstr>
      <vt:lpstr>Sort by HI</vt:lpstr>
      <vt:lpstr>Sort by Experience</vt:lpstr>
      <vt:lpstr>Sort by Availability</vt:lpstr>
      <vt:lpstr>Sort by US Golf &amp; Age</vt:lpstr>
      <vt:lpstr>Sort by US Golf &amp; HI</vt:lpstr>
      <vt:lpstr>Source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 Ng'ayu</dc:creator>
  <cp:lastModifiedBy>Mburu Samuel</cp:lastModifiedBy>
  <cp:lastPrinted>2024-04-29T07:18:55Z</cp:lastPrinted>
  <dcterms:created xsi:type="dcterms:W3CDTF">2024-04-25T12:03:48Z</dcterms:created>
  <dcterms:modified xsi:type="dcterms:W3CDTF">2026-05-31T11:48:12Z</dcterms:modified>
</cp:coreProperties>
</file>